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7F874143-E525-419D-9BA6-F3EEF9A46A03}" xr6:coauthVersionLast="47" xr6:coauthVersionMax="47" xr10:uidLastSave="{00000000-0000-0000-0000-000000000000}"/>
  <bookViews>
    <workbookView xWindow="-108" yWindow="-108" windowWidth="23256" windowHeight="12456" xr2:uid="{E98D23BE-0150-4D74-A05C-0F7B89B9370A}"/>
  </bookViews>
  <sheets>
    <sheet name="Sheet1" sheetId="1" r:id="rId1"/>
  </sheets>
  <definedNames>
    <definedName name="_xlchart.v1.0" hidden="1">Sheet1!$H$2:$H$101</definedName>
    <definedName name="_xlchart.v1.1" hidden="1">Sheet1!$M$2:$M$101</definedName>
    <definedName name="_xlchart.v1.2" hidden="1">Sheet1!$M$2:$M$101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H11" i="1" s="1"/>
  <c r="D12" i="1"/>
  <c r="H12" i="1" s="1"/>
  <c r="D13" i="1"/>
  <c r="D14" i="1"/>
  <c r="H14" i="1" s="1"/>
  <c r="D15" i="1"/>
  <c r="H15" i="1" s="1"/>
  <c r="D16" i="1"/>
  <c r="H16" i="1" s="1"/>
  <c r="N16" i="1" s="1"/>
  <c r="R16" i="1" s="1"/>
  <c r="D17" i="1"/>
  <c r="H17" i="1" s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H30" i="1" s="1"/>
  <c r="P30" i="1" s="1"/>
  <c r="D31" i="1"/>
  <c r="H31" i="1" s="1"/>
  <c r="D32" i="1"/>
  <c r="H32" i="1" s="1"/>
  <c r="D33" i="1"/>
  <c r="H33" i="1" s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H46" i="1" s="1"/>
  <c r="D47" i="1"/>
  <c r="H47" i="1" s="1"/>
  <c r="D48" i="1"/>
  <c r="H48" i="1" s="1"/>
  <c r="J48" i="1" s="1"/>
  <c r="D49" i="1"/>
  <c r="H49" i="1" s="1"/>
  <c r="K49" i="1" s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H62" i="1" s="1"/>
  <c r="D63" i="1"/>
  <c r="H63" i="1" s="1"/>
  <c r="D64" i="1"/>
  <c r="H64" i="1" s="1"/>
  <c r="D65" i="1"/>
  <c r="H65" i="1" s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H78" i="1" s="1"/>
  <c r="D79" i="1"/>
  <c r="H79" i="1" s="1"/>
  <c r="D80" i="1"/>
  <c r="H80" i="1" s="1"/>
  <c r="D81" i="1"/>
  <c r="H81" i="1" s="1"/>
  <c r="P81" i="1" s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H94" i="1" s="1"/>
  <c r="N94" i="1" s="1"/>
  <c r="D95" i="1"/>
  <c r="H95" i="1" s="1"/>
  <c r="D96" i="1"/>
  <c r="H96" i="1" s="1"/>
  <c r="D97" i="1"/>
  <c r="H97" i="1" s="1"/>
  <c r="N97" i="1" s="1"/>
  <c r="O97" i="1" s="1"/>
  <c r="D98" i="1"/>
  <c r="D99" i="1"/>
  <c r="D100" i="1"/>
  <c r="D101" i="1"/>
  <c r="P23" i="1"/>
  <c r="P24" i="1"/>
  <c r="P25" i="1"/>
  <c r="P26" i="1"/>
  <c r="P66" i="1"/>
  <c r="P68" i="1"/>
  <c r="P69" i="1"/>
  <c r="O2" i="1"/>
  <c r="N54" i="1"/>
  <c r="R54" i="1" s="1"/>
  <c r="N55" i="1"/>
  <c r="O55" i="1" s="1"/>
  <c r="N2" i="1"/>
  <c r="R2" i="1" s="1"/>
  <c r="K20" i="1"/>
  <c r="Q20" i="1" s="1"/>
  <c r="K29" i="1"/>
  <c r="K100" i="1"/>
  <c r="Q100" i="1" s="1"/>
  <c r="K101" i="1"/>
  <c r="J36" i="1"/>
  <c r="J61" i="1"/>
  <c r="J84" i="1"/>
  <c r="J85" i="1"/>
  <c r="J89" i="1"/>
  <c r="J90" i="1"/>
  <c r="H29" i="1"/>
  <c r="H34" i="1"/>
  <c r="H35" i="1"/>
  <c r="H36" i="1"/>
  <c r="H37" i="1"/>
  <c r="K37" i="1" s="1"/>
  <c r="H38" i="1"/>
  <c r="K38" i="1" s="1"/>
  <c r="L38" i="1" s="1"/>
  <c r="H39" i="1"/>
  <c r="K39" i="1" s="1"/>
  <c r="Q39" i="1" s="1"/>
  <c r="H40" i="1"/>
  <c r="K40" i="1" s="1"/>
  <c r="Q40" i="1" s="1"/>
  <c r="H41" i="1"/>
  <c r="K41" i="1" s="1"/>
  <c r="Q41" i="1" s="1"/>
  <c r="H42" i="1"/>
  <c r="K42" i="1" s="1"/>
  <c r="Q42" i="1" s="1"/>
  <c r="H43" i="1"/>
  <c r="N43" i="1" s="1"/>
  <c r="H44" i="1"/>
  <c r="H45" i="1"/>
  <c r="H50" i="1"/>
  <c r="H51" i="1"/>
  <c r="H52" i="1"/>
  <c r="P52" i="1" s="1"/>
  <c r="H53" i="1"/>
  <c r="H54" i="1"/>
  <c r="H55" i="1"/>
  <c r="P55" i="1" s="1"/>
  <c r="H56" i="1"/>
  <c r="H57" i="1"/>
  <c r="H58" i="1"/>
  <c r="N58" i="1" s="1"/>
  <c r="O58" i="1" s="1"/>
  <c r="H59" i="1"/>
  <c r="N59" i="1" s="1"/>
  <c r="R59" i="1" s="1"/>
  <c r="H60" i="1"/>
  <c r="N60" i="1" s="1"/>
  <c r="R60" i="1" s="1"/>
  <c r="H61" i="1"/>
  <c r="H66" i="1"/>
  <c r="N66" i="1" s="1"/>
  <c r="R66" i="1" s="1"/>
  <c r="H67" i="1"/>
  <c r="H68" i="1"/>
  <c r="J68" i="1" s="1"/>
  <c r="H69" i="1"/>
  <c r="N69" i="1" s="1"/>
  <c r="H70" i="1"/>
  <c r="J70" i="1" s="1"/>
  <c r="H71" i="1"/>
  <c r="N71" i="1" s="1"/>
  <c r="H72" i="1"/>
  <c r="H73" i="1"/>
  <c r="K73" i="1" s="1"/>
  <c r="L73" i="1" s="1"/>
  <c r="H74" i="1"/>
  <c r="H75" i="1"/>
  <c r="J75" i="1" s="1"/>
  <c r="H76" i="1"/>
  <c r="J76" i="1" s="1"/>
  <c r="H77" i="1"/>
  <c r="H82" i="1"/>
  <c r="H83" i="1"/>
  <c r="H84" i="1"/>
  <c r="K84" i="1" s="1"/>
  <c r="Q84" i="1" s="1"/>
  <c r="H85" i="1"/>
  <c r="P85" i="1" s="1"/>
  <c r="H86" i="1"/>
  <c r="P86" i="1" s="1"/>
  <c r="H87" i="1"/>
  <c r="P87" i="1" s="1"/>
  <c r="H88" i="1"/>
  <c r="P88" i="1" s="1"/>
  <c r="H89" i="1"/>
  <c r="K89" i="1" s="1"/>
  <c r="H90" i="1"/>
  <c r="K90" i="1" s="1"/>
  <c r="H91" i="1"/>
  <c r="J91" i="1" s="1"/>
  <c r="H92" i="1"/>
  <c r="H93" i="1"/>
  <c r="H98" i="1"/>
  <c r="N98" i="1" s="1"/>
  <c r="O98" i="1" s="1"/>
  <c r="H99" i="1"/>
  <c r="H100" i="1"/>
  <c r="H101" i="1"/>
  <c r="J101" i="1" s="1"/>
  <c r="H22" i="1"/>
  <c r="H23" i="1"/>
  <c r="H24" i="1"/>
  <c r="H25" i="1"/>
  <c r="J25" i="1" s="1"/>
  <c r="H26" i="1"/>
  <c r="J26" i="1" s="1"/>
  <c r="H27" i="1"/>
  <c r="N27" i="1" s="1"/>
  <c r="H28" i="1"/>
  <c r="H13" i="1"/>
  <c r="H18" i="1"/>
  <c r="H19" i="1"/>
  <c r="H20" i="1"/>
  <c r="J20" i="1" s="1"/>
  <c r="H21" i="1"/>
  <c r="K21" i="1" s="1"/>
  <c r="Q21" i="1" s="1"/>
  <c r="H3" i="1"/>
  <c r="P3" i="1" s="1"/>
  <c r="H4" i="1"/>
  <c r="P4" i="1" s="1"/>
  <c r="H5" i="1"/>
  <c r="P5" i="1" s="1"/>
  <c r="H6" i="1"/>
  <c r="N6" i="1" s="1"/>
  <c r="R6" i="1" s="1"/>
  <c r="H7" i="1"/>
  <c r="J7" i="1" s="1"/>
  <c r="H8" i="1"/>
  <c r="P8" i="1" s="1"/>
  <c r="H9" i="1"/>
  <c r="H10" i="1"/>
  <c r="H2" i="1"/>
  <c r="J2" i="1" s="1"/>
  <c r="I2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3" i="1"/>
  <c r="I4" i="1"/>
  <c r="I5" i="1"/>
  <c r="I6" i="1"/>
  <c r="I7" i="1"/>
  <c r="I8" i="1"/>
  <c r="I9" i="1"/>
  <c r="I10" i="1"/>
  <c r="I1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O94" i="1" l="1"/>
  <c r="R94" i="1"/>
  <c r="J28" i="1"/>
  <c r="N28" i="1"/>
  <c r="J44" i="1"/>
  <c r="N44" i="1"/>
  <c r="N65" i="1"/>
  <c r="R65" i="1" s="1"/>
  <c r="P65" i="1"/>
  <c r="O43" i="1"/>
  <c r="R43" i="1"/>
  <c r="N63" i="1"/>
  <c r="P63" i="1"/>
  <c r="J63" i="1"/>
  <c r="K63" i="1"/>
  <c r="L63" i="1" s="1"/>
  <c r="N15" i="1"/>
  <c r="P15" i="1"/>
  <c r="K15" i="1"/>
  <c r="J62" i="1"/>
  <c r="P62" i="1"/>
  <c r="N62" i="1"/>
  <c r="K62" i="1"/>
  <c r="P14" i="1"/>
  <c r="J14" i="1"/>
  <c r="K14" i="1"/>
  <c r="P12" i="1"/>
  <c r="N12" i="1"/>
  <c r="O12" i="1" s="1"/>
  <c r="J12" i="1"/>
  <c r="P11" i="1"/>
  <c r="J11" i="1"/>
  <c r="N11" i="1"/>
  <c r="O11" i="1" s="1"/>
  <c r="Q37" i="1"/>
  <c r="L37" i="1"/>
  <c r="L84" i="1"/>
  <c r="P93" i="1"/>
  <c r="K93" i="1"/>
  <c r="J93" i="1"/>
  <c r="N93" i="1"/>
  <c r="N29" i="1"/>
  <c r="R29" i="1" s="1"/>
  <c r="P29" i="1"/>
  <c r="J29" i="1"/>
  <c r="N92" i="1"/>
  <c r="R92" i="1" s="1"/>
  <c r="J92" i="1"/>
  <c r="J15" i="1"/>
  <c r="P80" i="1"/>
  <c r="K80" i="1"/>
  <c r="N80" i="1"/>
  <c r="J80" i="1"/>
  <c r="M80" i="1" s="1"/>
  <c r="K32" i="1"/>
  <c r="L32" i="1" s="1"/>
  <c r="P32" i="1"/>
  <c r="N32" i="1"/>
  <c r="O32" i="1" s="1"/>
  <c r="N95" i="1"/>
  <c r="P95" i="1"/>
  <c r="K95" i="1"/>
  <c r="J95" i="1"/>
  <c r="K47" i="1"/>
  <c r="Q47" i="1" s="1"/>
  <c r="N47" i="1"/>
  <c r="R47" i="1" s="1"/>
  <c r="P47" i="1"/>
  <c r="J47" i="1"/>
  <c r="P10" i="1"/>
  <c r="J10" i="1"/>
  <c r="N10" i="1"/>
  <c r="O10" i="1" s="1"/>
  <c r="K10" i="1"/>
  <c r="P94" i="1"/>
  <c r="K94" i="1"/>
  <c r="J94" i="1"/>
  <c r="K46" i="1"/>
  <c r="L46" i="1" s="1"/>
  <c r="P46" i="1"/>
  <c r="N46" i="1"/>
  <c r="J46" i="1"/>
  <c r="Q101" i="1"/>
  <c r="L101" i="1"/>
  <c r="M101" i="1" s="1"/>
  <c r="N77" i="1"/>
  <c r="J77" i="1"/>
  <c r="P77" i="1"/>
  <c r="K77" i="1"/>
  <c r="K96" i="1"/>
  <c r="Q96" i="1" s="1"/>
  <c r="N96" i="1"/>
  <c r="O96" i="1" s="1"/>
  <c r="P96" i="1"/>
  <c r="N64" i="1"/>
  <c r="R64" i="1" s="1"/>
  <c r="P64" i="1"/>
  <c r="J64" i="1"/>
  <c r="P48" i="1"/>
  <c r="K48" i="1"/>
  <c r="N48" i="1"/>
  <c r="P79" i="1"/>
  <c r="K79" i="1"/>
  <c r="Q79" i="1" s="1"/>
  <c r="N79" i="1"/>
  <c r="J79" i="1"/>
  <c r="P31" i="1"/>
  <c r="J31" i="1"/>
  <c r="K31" i="1"/>
  <c r="L31" i="1" s="1"/>
  <c r="M31" i="1" s="1"/>
  <c r="N31" i="1"/>
  <c r="O31" i="1" s="1"/>
  <c r="K61" i="1"/>
  <c r="N61" i="1"/>
  <c r="P61" i="1"/>
  <c r="K78" i="1"/>
  <c r="N78" i="1"/>
  <c r="J78" i="1"/>
  <c r="P78" i="1"/>
  <c r="K30" i="1"/>
  <c r="N30" i="1"/>
  <c r="J30" i="1"/>
  <c r="P9" i="1"/>
  <c r="N9" i="1"/>
  <c r="R9" i="1" s="1"/>
  <c r="K9" i="1"/>
  <c r="J9" i="1"/>
  <c r="K64" i="1"/>
  <c r="Q64" i="1" s="1"/>
  <c r="Q29" i="1"/>
  <c r="L29" i="1"/>
  <c r="P13" i="1"/>
  <c r="J13" i="1"/>
  <c r="N13" i="1"/>
  <c r="K13" i="1"/>
  <c r="Q89" i="1"/>
  <c r="L89" i="1"/>
  <c r="K45" i="1"/>
  <c r="N45" i="1"/>
  <c r="P45" i="1"/>
  <c r="J45" i="1"/>
  <c r="N14" i="1"/>
  <c r="J43" i="1"/>
  <c r="N8" i="1"/>
  <c r="K88" i="1"/>
  <c r="K87" i="1"/>
  <c r="N39" i="1"/>
  <c r="O39" i="1" s="1"/>
  <c r="J27" i="1"/>
  <c r="J42" i="1"/>
  <c r="N7" i="1"/>
  <c r="R7" i="1" s="1"/>
  <c r="K8" i="1"/>
  <c r="L100" i="1"/>
  <c r="J69" i="1"/>
  <c r="K70" i="1"/>
  <c r="Q70" i="1" s="1"/>
  <c r="N91" i="1"/>
  <c r="R91" i="1" s="1"/>
  <c r="J8" i="1"/>
  <c r="J6" i="1"/>
  <c r="N70" i="1"/>
  <c r="R70" i="1" s="1"/>
  <c r="J73" i="1"/>
  <c r="K2" i="1"/>
  <c r="L2" i="1" s="1"/>
  <c r="M2" i="1" s="1"/>
  <c r="K69" i="1"/>
  <c r="Q69" i="1" s="1"/>
  <c r="P70" i="1"/>
  <c r="N83" i="1"/>
  <c r="P83" i="1"/>
  <c r="N35" i="1"/>
  <c r="P35" i="1"/>
  <c r="K35" i="1"/>
  <c r="O71" i="1"/>
  <c r="R71" i="1"/>
  <c r="N19" i="1"/>
  <c r="J19" i="1"/>
  <c r="P19" i="1"/>
  <c r="N99" i="1"/>
  <c r="P99" i="1"/>
  <c r="J99" i="1"/>
  <c r="N67" i="1"/>
  <c r="K67" i="1"/>
  <c r="N51" i="1"/>
  <c r="K51" i="1"/>
  <c r="J51" i="1"/>
  <c r="Q80" i="1"/>
  <c r="L80" i="1"/>
  <c r="J18" i="1"/>
  <c r="P18" i="1"/>
  <c r="N18" i="1"/>
  <c r="J98" i="1"/>
  <c r="P98" i="1"/>
  <c r="K98" i="1"/>
  <c r="N82" i="1"/>
  <c r="P82" i="1"/>
  <c r="K50" i="1"/>
  <c r="J50" i="1"/>
  <c r="N34" i="1"/>
  <c r="P34" i="1"/>
  <c r="K34" i="1"/>
  <c r="J34" i="1"/>
  <c r="P17" i="1"/>
  <c r="J17" i="1"/>
  <c r="N17" i="1"/>
  <c r="K17" i="1"/>
  <c r="J97" i="1"/>
  <c r="K97" i="1"/>
  <c r="Q49" i="1"/>
  <c r="L49" i="1"/>
  <c r="K33" i="1"/>
  <c r="J33" i="1"/>
  <c r="K19" i="1"/>
  <c r="O66" i="1"/>
  <c r="K18" i="1"/>
  <c r="N33" i="1"/>
  <c r="O8" i="1"/>
  <c r="R8" i="1"/>
  <c r="O65" i="1"/>
  <c r="Q2" i="1"/>
  <c r="K99" i="1"/>
  <c r="R93" i="1"/>
  <c r="O93" i="1"/>
  <c r="R32" i="1"/>
  <c r="K66" i="1"/>
  <c r="L21" i="1"/>
  <c r="R31" i="1"/>
  <c r="J67" i="1"/>
  <c r="J35" i="1"/>
  <c r="K65" i="1"/>
  <c r="L20" i="1"/>
  <c r="M20" i="1" s="1"/>
  <c r="Q46" i="1"/>
  <c r="J66" i="1"/>
  <c r="L90" i="1"/>
  <c r="Q90" i="1"/>
  <c r="L64" i="1"/>
  <c r="N81" i="1"/>
  <c r="R28" i="1"/>
  <c r="O28" i="1"/>
  <c r="O91" i="1"/>
  <c r="O60" i="1"/>
  <c r="O16" i="1"/>
  <c r="P51" i="1"/>
  <c r="P90" i="1"/>
  <c r="N90" i="1"/>
  <c r="J74" i="1"/>
  <c r="K74" i="1"/>
  <c r="P58" i="1"/>
  <c r="J58" i="1"/>
  <c r="N42" i="1"/>
  <c r="P42" i="1"/>
  <c r="J65" i="1"/>
  <c r="R27" i="1"/>
  <c r="O27" i="1"/>
  <c r="O59" i="1"/>
  <c r="P50" i="1"/>
  <c r="Q38" i="1"/>
  <c r="P89" i="1"/>
  <c r="N89" i="1"/>
  <c r="N57" i="1"/>
  <c r="P57" i="1"/>
  <c r="J57" i="1"/>
  <c r="J41" i="1"/>
  <c r="N41" i="1"/>
  <c r="P41" i="1"/>
  <c r="K7" i="1"/>
  <c r="N50" i="1"/>
  <c r="N26" i="1"/>
  <c r="O54" i="1"/>
  <c r="P74" i="1"/>
  <c r="P49" i="1"/>
  <c r="N5" i="1"/>
  <c r="J5" i="1"/>
  <c r="J24" i="1"/>
  <c r="N24" i="1"/>
  <c r="J88" i="1"/>
  <c r="N88" i="1"/>
  <c r="J72" i="1"/>
  <c r="P72" i="1"/>
  <c r="K72" i="1"/>
  <c r="J56" i="1"/>
  <c r="N56" i="1"/>
  <c r="P56" i="1"/>
  <c r="K56" i="1"/>
  <c r="J40" i="1"/>
  <c r="N40" i="1"/>
  <c r="P40" i="1"/>
  <c r="J83" i="1"/>
  <c r="K26" i="1"/>
  <c r="K6" i="1"/>
  <c r="L42" i="1"/>
  <c r="N49" i="1"/>
  <c r="N25" i="1"/>
  <c r="P73" i="1"/>
  <c r="R98" i="1"/>
  <c r="N4" i="1"/>
  <c r="J4" i="1"/>
  <c r="J23" i="1"/>
  <c r="N23" i="1"/>
  <c r="J87" i="1"/>
  <c r="N87" i="1"/>
  <c r="J71" i="1"/>
  <c r="P71" i="1"/>
  <c r="K71" i="1"/>
  <c r="J55" i="1"/>
  <c r="K55" i="1"/>
  <c r="J39" i="1"/>
  <c r="P39" i="1"/>
  <c r="J82" i="1"/>
  <c r="K58" i="1"/>
  <c r="K25" i="1"/>
  <c r="K5" i="1"/>
  <c r="L41" i="1"/>
  <c r="R48" i="1"/>
  <c r="O48" i="1"/>
  <c r="O6" i="1"/>
  <c r="R97" i="1"/>
  <c r="R58" i="1"/>
  <c r="N3" i="1"/>
  <c r="J3" i="1"/>
  <c r="J22" i="1"/>
  <c r="N22" i="1"/>
  <c r="P22" i="1"/>
  <c r="J86" i="1"/>
  <c r="K86" i="1"/>
  <c r="N86" i="1"/>
  <c r="J54" i="1"/>
  <c r="P54" i="1"/>
  <c r="K54" i="1"/>
  <c r="J38" i="1"/>
  <c r="N38" i="1"/>
  <c r="P38" i="1"/>
  <c r="J81" i="1"/>
  <c r="K83" i="1"/>
  <c r="K57" i="1"/>
  <c r="K24" i="1"/>
  <c r="K4" i="1"/>
  <c r="L40" i="1"/>
  <c r="N74" i="1"/>
  <c r="N21" i="1"/>
  <c r="P21" i="1"/>
  <c r="N101" i="1"/>
  <c r="P101" i="1"/>
  <c r="N85" i="1"/>
  <c r="K85" i="1"/>
  <c r="R69" i="1"/>
  <c r="O69" i="1"/>
  <c r="N53" i="1"/>
  <c r="P53" i="1"/>
  <c r="K53" i="1"/>
  <c r="J53" i="1"/>
  <c r="N37" i="1"/>
  <c r="J37" i="1"/>
  <c r="P37" i="1"/>
  <c r="J49" i="1"/>
  <c r="K82" i="1"/>
  <c r="Q48" i="1"/>
  <c r="L48" i="1"/>
  <c r="M48" i="1" s="1"/>
  <c r="K23" i="1"/>
  <c r="K3" i="1"/>
  <c r="L39" i="1"/>
  <c r="N73" i="1"/>
  <c r="P97" i="1"/>
  <c r="P7" i="1"/>
  <c r="Q73" i="1"/>
  <c r="N20" i="1"/>
  <c r="P20" i="1"/>
  <c r="N100" i="1"/>
  <c r="P100" i="1"/>
  <c r="J100" i="1"/>
  <c r="M100" i="1" s="1"/>
  <c r="N84" i="1"/>
  <c r="P84" i="1"/>
  <c r="N68" i="1"/>
  <c r="K68" i="1"/>
  <c r="N52" i="1"/>
  <c r="K52" i="1"/>
  <c r="J52" i="1"/>
  <c r="N36" i="1"/>
  <c r="P36" i="1"/>
  <c r="K36" i="1"/>
  <c r="J21" i="1"/>
  <c r="K81" i="1"/>
  <c r="K22" i="1"/>
  <c r="N72" i="1"/>
  <c r="P67" i="1"/>
  <c r="P33" i="1"/>
  <c r="P6" i="1"/>
  <c r="R55" i="1"/>
  <c r="K16" i="1"/>
  <c r="P2" i="1"/>
  <c r="J96" i="1"/>
  <c r="J32" i="1"/>
  <c r="Q15" i="1"/>
  <c r="L15" i="1"/>
  <c r="P16" i="1"/>
  <c r="Q95" i="1"/>
  <c r="L95" i="1"/>
  <c r="M95" i="1" s="1"/>
  <c r="J16" i="1"/>
  <c r="P28" i="1"/>
  <c r="K28" i="1"/>
  <c r="P92" i="1"/>
  <c r="K92" i="1"/>
  <c r="P76" i="1"/>
  <c r="K76" i="1"/>
  <c r="P60" i="1"/>
  <c r="K60" i="1"/>
  <c r="P44" i="1"/>
  <c r="K44" i="1"/>
  <c r="J60" i="1"/>
  <c r="N76" i="1"/>
  <c r="P27" i="1"/>
  <c r="K27" i="1"/>
  <c r="P91" i="1"/>
  <c r="K91" i="1"/>
  <c r="P75" i="1"/>
  <c r="K75" i="1"/>
  <c r="P59" i="1"/>
  <c r="K59" i="1"/>
  <c r="P43" i="1"/>
  <c r="K43" i="1"/>
  <c r="J59" i="1"/>
  <c r="Q31" i="1"/>
  <c r="N75" i="1"/>
  <c r="K12" i="1"/>
  <c r="K11" i="1"/>
  <c r="M46" i="1"/>
  <c r="M89" i="1"/>
  <c r="M21" i="1" l="1"/>
  <c r="Q78" i="1"/>
  <c r="L78" i="1"/>
  <c r="R61" i="1"/>
  <c r="O61" i="1"/>
  <c r="Q63" i="1"/>
  <c r="L87" i="1"/>
  <c r="Q87" i="1"/>
  <c r="Q77" i="1"/>
  <c r="L77" i="1"/>
  <c r="M77" i="1" s="1"/>
  <c r="L96" i="1"/>
  <c r="M96" i="1" s="1"/>
  <c r="L14" i="1"/>
  <c r="M14" i="1" s="1"/>
  <c r="Q14" i="1"/>
  <c r="L69" i="1"/>
  <c r="M69" i="1" s="1"/>
  <c r="R13" i="1"/>
  <c r="O13" i="1"/>
  <c r="Q94" i="1"/>
  <c r="L94" i="1"/>
  <c r="R80" i="1"/>
  <c r="O80" i="1"/>
  <c r="Q32" i="1"/>
  <c r="Q88" i="1"/>
  <c r="L88" i="1"/>
  <c r="M88" i="1" s="1"/>
  <c r="R14" i="1"/>
  <c r="O14" i="1"/>
  <c r="R12" i="1"/>
  <c r="O79" i="1"/>
  <c r="R79" i="1"/>
  <c r="M49" i="1"/>
  <c r="O9" i="1"/>
  <c r="O92" i="1"/>
  <c r="R39" i="1"/>
  <c r="R45" i="1"/>
  <c r="O45" i="1"/>
  <c r="O29" i="1"/>
  <c r="O7" i="1"/>
  <c r="O70" i="1"/>
  <c r="L30" i="1"/>
  <c r="M30" i="1" s="1"/>
  <c r="Q30" i="1"/>
  <c r="O62" i="1"/>
  <c r="R62" i="1"/>
  <c r="L47" i="1"/>
  <c r="M47" i="1" s="1"/>
  <c r="R96" i="1"/>
  <c r="L93" i="1"/>
  <c r="M93" i="1" s="1"/>
  <c r="Q93" i="1"/>
  <c r="L70" i="1"/>
  <c r="M70" i="1" s="1"/>
  <c r="L79" i="1"/>
  <c r="R11" i="1"/>
  <c r="R15" i="1"/>
  <c r="O15" i="1"/>
  <c r="Q10" i="1"/>
  <c r="L10" i="1"/>
  <c r="M10" i="1" s="1"/>
  <c r="Q61" i="1"/>
  <c r="L61" i="1"/>
  <c r="O63" i="1"/>
  <c r="R63" i="1"/>
  <c r="L9" i="1"/>
  <c r="M9" i="1" s="1"/>
  <c r="Q9" i="1"/>
  <c r="O77" i="1"/>
  <c r="R77" i="1"/>
  <c r="O47" i="1"/>
  <c r="O64" i="1"/>
  <c r="R10" i="1"/>
  <c r="O44" i="1"/>
  <c r="R44" i="1"/>
  <c r="R30" i="1"/>
  <c r="O30" i="1"/>
  <c r="Q62" i="1"/>
  <c r="L62" i="1"/>
  <c r="M62" i="1" s="1"/>
  <c r="L45" i="1"/>
  <c r="M45" i="1" s="1"/>
  <c r="Q45" i="1"/>
  <c r="O46" i="1"/>
  <c r="R46" i="1"/>
  <c r="O95" i="1"/>
  <c r="R95" i="1"/>
  <c r="M32" i="1"/>
  <c r="L8" i="1"/>
  <c r="M8" i="1" s="1"/>
  <c r="Q8" i="1"/>
  <c r="Q13" i="1"/>
  <c r="L13" i="1"/>
  <c r="M13" i="1" s="1"/>
  <c r="O78" i="1"/>
  <c r="R78" i="1"/>
  <c r="M34" i="1"/>
  <c r="L92" i="1"/>
  <c r="M92" i="1" s="1"/>
  <c r="Q92" i="1"/>
  <c r="L52" i="1"/>
  <c r="M52" i="1" s="1"/>
  <c r="Q52" i="1"/>
  <c r="Q85" i="1"/>
  <c r="L85" i="1"/>
  <c r="M85" i="1" s="1"/>
  <c r="R38" i="1"/>
  <c r="O38" i="1"/>
  <c r="O23" i="1"/>
  <c r="R23" i="1"/>
  <c r="O50" i="1"/>
  <c r="R50" i="1"/>
  <c r="O81" i="1"/>
  <c r="R81" i="1"/>
  <c r="Q66" i="1"/>
  <c r="L66" i="1"/>
  <c r="M66" i="1" s="1"/>
  <c r="R33" i="1"/>
  <c r="O33" i="1"/>
  <c r="L97" i="1"/>
  <c r="M97" i="1" s="1"/>
  <c r="Q97" i="1"/>
  <c r="R51" i="1"/>
  <c r="O51" i="1"/>
  <c r="Q75" i="1"/>
  <c r="L75" i="1"/>
  <c r="M75" i="1" s="1"/>
  <c r="R52" i="1"/>
  <c r="O52" i="1"/>
  <c r="L3" i="1"/>
  <c r="M3" i="1" s="1"/>
  <c r="Q3" i="1"/>
  <c r="R85" i="1"/>
  <c r="O85" i="1"/>
  <c r="O56" i="1"/>
  <c r="R56" i="1"/>
  <c r="L7" i="1"/>
  <c r="M7" i="1" s="1"/>
  <c r="Q7" i="1"/>
  <c r="Q18" i="1"/>
  <c r="L18" i="1"/>
  <c r="M18" i="1" s="1"/>
  <c r="Q50" i="1"/>
  <c r="L50" i="1"/>
  <c r="M50" i="1" s="1"/>
  <c r="Q67" i="1"/>
  <c r="L67" i="1"/>
  <c r="M67" i="1" s="1"/>
  <c r="L28" i="1"/>
  <c r="Q28" i="1"/>
  <c r="Q68" i="1"/>
  <c r="L68" i="1"/>
  <c r="M68" i="1" s="1"/>
  <c r="L23" i="1"/>
  <c r="M23" i="1" s="1"/>
  <c r="Q23" i="1"/>
  <c r="L54" i="1"/>
  <c r="M54" i="1" s="1"/>
  <c r="Q54" i="1"/>
  <c r="Q17" i="1"/>
  <c r="L17" i="1"/>
  <c r="M17" i="1" s="1"/>
  <c r="R67" i="1"/>
  <c r="O67" i="1"/>
  <c r="L91" i="1"/>
  <c r="M91" i="1" s="1"/>
  <c r="Q91" i="1"/>
  <c r="R68" i="1"/>
  <c r="O68" i="1"/>
  <c r="R101" i="1"/>
  <c r="O101" i="1"/>
  <c r="L5" i="1"/>
  <c r="M5" i="1" s="1"/>
  <c r="Q5" i="1"/>
  <c r="R4" i="1"/>
  <c r="O4" i="1"/>
  <c r="L72" i="1"/>
  <c r="M72" i="1" s="1"/>
  <c r="Q72" i="1"/>
  <c r="O41" i="1"/>
  <c r="R41" i="1"/>
  <c r="O42" i="1"/>
  <c r="R42" i="1"/>
  <c r="R17" i="1"/>
  <c r="O17" i="1"/>
  <c r="R82" i="1"/>
  <c r="O82" i="1"/>
  <c r="L25" i="1"/>
  <c r="M25" i="1" s="1"/>
  <c r="Q25" i="1"/>
  <c r="Q98" i="1"/>
  <c r="L98" i="1"/>
  <c r="M98" i="1" s="1"/>
  <c r="L27" i="1"/>
  <c r="M27" i="1" s="1"/>
  <c r="Q27" i="1"/>
  <c r="R84" i="1"/>
  <c r="O84" i="1"/>
  <c r="Q82" i="1"/>
  <c r="L82" i="1"/>
  <c r="M82" i="1" s="1"/>
  <c r="R21" i="1"/>
  <c r="O21" i="1"/>
  <c r="R86" i="1"/>
  <c r="O86" i="1"/>
  <c r="L58" i="1"/>
  <c r="M58" i="1" s="1"/>
  <c r="Q58" i="1"/>
  <c r="R99" i="1"/>
  <c r="O99" i="1"/>
  <c r="O72" i="1"/>
  <c r="R72" i="1"/>
  <c r="Q86" i="1"/>
  <c r="L86" i="1"/>
  <c r="O25" i="1"/>
  <c r="R25" i="1"/>
  <c r="O88" i="1"/>
  <c r="R88" i="1"/>
  <c r="L74" i="1"/>
  <c r="M74" i="1" s="1"/>
  <c r="Q74" i="1"/>
  <c r="Q11" i="1"/>
  <c r="L11" i="1"/>
  <c r="M11" i="1" s="1"/>
  <c r="Q22" i="1"/>
  <c r="L22" i="1"/>
  <c r="M22" i="1" s="1"/>
  <c r="R49" i="1"/>
  <c r="O49" i="1"/>
  <c r="O57" i="1"/>
  <c r="R57" i="1"/>
  <c r="R18" i="1"/>
  <c r="O18" i="1"/>
  <c r="Q12" i="1"/>
  <c r="L12" i="1"/>
  <c r="O76" i="1"/>
  <c r="R76" i="1"/>
  <c r="R100" i="1"/>
  <c r="O100" i="1"/>
  <c r="O74" i="1"/>
  <c r="R74" i="1"/>
  <c r="O24" i="1"/>
  <c r="R24" i="1"/>
  <c r="O89" i="1"/>
  <c r="R89" i="1"/>
  <c r="R90" i="1"/>
  <c r="O90" i="1"/>
  <c r="R19" i="1"/>
  <c r="O19" i="1"/>
  <c r="O75" i="1"/>
  <c r="R75" i="1"/>
  <c r="R37" i="1"/>
  <c r="O37" i="1"/>
  <c r="R22" i="1"/>
  <c r="O22" i="1"/>
  <c r="Q55" i="1"/>
  <c r="L55" i="1"/>
  <c r="M55" i="1" s="1"/>
  <c r="L6" i="1"/>
  <c r="M6" i="1" s="1"/>
  <c r="Q6" i="1"/>
  <c r="Q44" i="1"/>
  <c r="L44" i="1"/>
  <c r="M44" i="1" s="1"/>
  <c r="Q81" i="1"/>
  <c r="L81" i="1"/>
  <c r="R20" i="1"/>
  <c r="O20" i="1"/>
  <c r="L4" i="1"/>
  <c r="M4" i="1" s="1"/>
  <c r="Q4" i="1"/>
  <c r="L26" i="1"/>
  <c r="M26" i="1" s="1"/>
  <c r="Q26" i="1"/>
  <c r="L53" i="1"/>
  <c r="M53" i="1" s="1"/>
  <c r="Q53" i="1"/>
  <c r="L24" i="1"/>
  <c r="M24" i="1" s="1"/>
  <c r="Q24" i="1"/>
  <c r="L71" i="1"/>
  <c r="M71" i="1" s="1"/>
  <c r="Q71" i="1"/>
  <c r="R5" i="1"/>
  <c r="O5" i="1"/>
  <c r="Q65" i="1"/>
  <c r="L65" i="1"/>
  <c r="Q99" i="1"/>
  <c r="L99" i="1"/>
  <c r="Q19" i="1"/>
  <c r="L19" i="1"/>
  <c r="M19" i="1" s="1"/>
  <c r="Q35" i="1"/>
  <c r="L35" i="1"/>
  <c r="M35" i="1" s="1"/>
  <c r="L60" i="1"/>
  <c r="M60" i="1" s="1"/>
  <c r="Q60" i="1"/>
  <c r="Q36" i="1"/>
  <c r="L36" i="1"/>
  <c r="M36" i="1" s="1"/>
  <c r="Q57" i="1"/>
  <c r="L57" i="1"/>
  <c r="R3" i="1"/>
  <c r="O3" i="1"/>
  <c r="Q43" i="1"/>
  <c r="L43" i="1"/>
  <c r="Q16" i="1"/>
  <c r="L16" i="1"/>
  <c r="M16" i="1" s="1"/>
  <c r="R53" i="1"/>
  <c r="O53" i="1"/>
  <c r="Q83" i="1"/>
  <c r="L83" i="1"/>
  <c r="O40" i="1"/>
  <c r="R40" i="1"/>
  <c r="L33" i="1"/>
  <c r="M33" i="1" s="1"/>
  <c r="Q33" i="1"/>
  <c r="Q34" i="1"/>
  <c r="L34" i="1"/>
  <c r="R35" i="1"/>
  <c r="O35" i="1"/>
  <c r="Q76" i="1"/>
  <c r="L76" i="1"/>
  <c r="M76" i="1" s="1"/>
  <c r="R36" i="1"/>
  <c r="O36" i="1"/>
  <c r="O87" i="1"/>
  <c r="R87" i="1"/>
  <c r="L59" i="1"/>
  <c r="M59" i="1" s="1"/>
  <c r="Q59" i="1"/>
  <c r="O73" i="1"/>
  <c r="R73" i="1"/>
  <c r="Q56" i="1"/>
  <c r="L56" i="1"/>
  <c r="M56" i="1" s="1"/>
  <c r="O26" i="1"/>
  <c r="R26" i="1"/>
  <c r="R34" i="1"/>
  <c r="O34" i="1"/>
  <c r="L51" i="1"/>
  <c r="M51" i="1" s="1"/>
  <c r="Q51" i="1"/>
  <c r="R83" i="1"/>
  <c r="O83" i="1"/>
  <c r="M37" i="1"/>
  <c r="M86" i="1"/>
  <c r="M83" i="1"/>
  <c r="M90" i="1"/>
  <c r="M99" i="1"/>
  <c r="M84" i="1"/>
  <c r="M87" i="1"/>
  <c r="M29" i="1"/>
  <c r="M64" i="1"/>
  <c r="M38" i="1"/>
  <c r="M81" i="1"/>
  <c r="M73" i="1"/>
  <c r="M94" i="1"/>
  <c r="M41" i="1"/>
  <c r="M65" i="1"/>
  <c r="M61" i="1"/>
  <c r="M43" i="1"/>
  <c r="M12" i="1"/>
  <c r="M15" i="1"/>
  <c r="M39" i="1"/>
  <c r="M63" i="1"/>
  <c r="M40" i="1"/>
  <c r="M42" i="1"/>
  <c r="M79" i="1"/>
  <c r="M28" i="1"/>
  <c r="M57" i="1"/>
  <c r="M78" i="1"/>
</calcChain>
</file>

<file path=xl/sharedStrings.xml><?xml version="1.0" encoding="utf-8"?>
<sst xmlns="http://schemas.openxmlformats.org/spreadsheetml/2006/main" count="18" uniqueCount="18">
  <si>
    <t>R</t>
  </si>
  <si>
    <t>G</t>
  </si>
  <si>
    <t>B</t>
  </si>
  <si>
    <t>Original Brightness</t>
  </si>
  <si>
    <t>Ambient Lux</t>
  </si>
  <si>
    <t>Temperature</t>
  </si>
  <si>
    <t>Temperature Zone</t>
  </si>
  <si>
    <t>Adjusted Brightness</t>
  </si>
  <si>
    <t>Dominant Color</t>
  </si>
  <si>
    <t>Estimated Power (W)</t>
  </si>
  <si>
    <t>Low Power Brightness</t>
  </si>
  <si>
    <t>Power Saved (W)</t>
  </si>
  <si>
    <t>Charging Brightness</t>
  </si>
  <si>
    <t>Power Charging (W)</t>
  </si>
  <si>
    <t>Perceived Brightness</t>
  </si>
  <si>
    <t>Perceived Low Power</t>
  </si>
  <si>
    <t>Perceived Charging</t>
  </si>
  <si>
    <t>Low Power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</si>
</sst>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Adjusted Brightness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Adjusted Brightness Chart</a:t>
          </a:r>
        </a:p>
      </cx:txPr>
    </cx:title>
    <cx:plotArea>
      <cx:plotAreaRegion>
        <cx:series layoutId="clusteredColumn" uniqueId="{771430A4-9796-4070-9F50-F80C71F783E3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adjusted brightness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adjusted brightness values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Power Saved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Power Saved</a:t>
          </a:r>
        </a:p>
      </cx:txPr>
    </cx:title>
    <cx:plotArea>
      <cx:plotAreaRegion>
        <cx:series layoutId="clusteredColumn" uniqueId="{02F31289-7D73-47A1-8C8A-B346B7611D7B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power saved values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power saved values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11205</xdr:colOff>
      <xdr:row>0</xdr:row>
      <xdr:rowOff>0</xdr:rowOff>
    </xdr:from>
    <xdr:to>
      <xdr:col>26</xdr:col>
      <xdr:colOff>347381</xdr:colOff>
      <xdr:row>15</xdr:row>
      <xdr:rowOff>53788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51A2D98-06D5-A58F-A7A6-2A91C3F23D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07734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11206</xdr:colOff>
      <xdr:row>16</xdr:row>
      <xdr:rowOff>174812</xdr:rowOff>
    </xdr:from>
    <xdr:to>
      <xdr:col>26</xdr:col>
      <xdr:colOff>347382</xdr:colOff>
      <xdr:row>32</xdr:row>
      <xdr:rowOff>49306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81465D1-1B44-00FD-1D43-1541A8393E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07735" y="304351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35B75-ACD4-49B4-A6AC-8CB330B7426E}">
  <dimension ref="A1:R101"/>
  <sheetViews>
    <sheetView tabSelected="1" zoomScale="64" zoomScaleNormal="68" workbookViewId="0">
      <selection activeCell="X38" sqref="X38"/>
    </sheetView>
  </sheetViews>
  <sheetFormatPr defaultRowHeight="14.4" x14ac:dyDescent="0.3"/>
  <cols>
    <col min="5" max="5" width="11.5546875" customWidth="1"/>
    <col min="6" max="6" width="14.33203125" customWidth="1"/>
    <col min="7" max="7" width="19.77734375" customWidth="1"/>
    <col min="8" max="8" width="16.88671875" customWidth="1"/>
    <col min="9" max="9" width="14.109375" customWidth="1"/>
    <col min="10" max="10" width="18.33203125" customWidth="1"/>
    <col min="11" max="11" width="19" customWidth="1"/>
    <col min="12" max="12" width="18.88671875" customWidth="1"/>
    <col min="13" max="13" width="15.44140625" customWidth="1"/>
    <col min="14" max="14" width="17.21875" customWidth="1"/>
    <col min="15" max="15" width="16.88671875" customWidth="1"/>
    <col min="16" max="17" width="18.109375" customWidth="1"/>
    <col min="18" max="18" width="18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17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x14ac:dyDescent="0.3">
      <c r="A2" s="1">
        <v>10</v>
      </c>
      <c r="B2" s="1">
        <v>164</v>
      </c>
      <c r="C2" s="1">
        <v>174</v>
      </c>
      <c r="D2" s="1">
        <f>0.299*A2 + 0.587*B2 + 0.114*C2</f>
        <v>119.09399999999999</v>
      </c>
      <c r="E2" s="3">
        <v>16</v>
      </c>
      <c r="F2" s="3">
        <v>28</v>
      </c>
      <c r="G2" t="str">
        <f>IF(F2&lt;=25,"Mild","Hot")</f>
        <v>Hot</v>
      </c>
      <c r="H2">
        <f>ROUND(MIN(D2*(1+E2/100)*(1-F2/100),255),2)</f>
        <v>99.47</v>
      </c>
      <c r="I2" t="str">
        <f>IF(AND(A1&gt;=B1,A1&gt;=C1),"Red",IF(AND(B1&gt;=A1,B1&gt;=C1),"Green","Blue"))</f>
        <v>Red</v>
      </c>
      <c r="J2">
        <f>ROUND(H2/255*5,2)</f>
        <v>1.95</v>
      </c>
      <c r="K2">
        <f>ROUND(H2*0.8,2)</f>
        <v>79.58</v>
      </c>
      <c r="L2">
        <f>ROUND(K2/255*5,2)</f>
        <v>1.56</v>
      </c>
      <c r="M2">
        <f>J2 -L2</f>
        <v>0.3899999999999999</v>
      </c>
      <c r="N2">
        <f>ROUND(H2*1.1,2)</f>
        <v>109.42</v>
      </c>
      <c r="O2">
        <f>ROUND(N2/255*5,2)</f>
        <v>2.15</v>
      </c>
      <c r="P2">
        <f>ROUND(H2^(1/2.2),2)</f>
        <v>8.09</v>
      </c>
      <c r="Q2">
        <f>ROUND(K2^(1/2.2),2)</f>
        <v>7.31</v>
      </c>
      <c r="R2">
        <f>ROUND(N2^(1/2.2),2)</f>
        <v>8.4499999999999993</v>
      </c>
    </row>
    <row r="3" spans="1:18" x14ac:dyDescent="0.3">
      <c r="A3" s="1">
        <v>91</v>
      </c>
      <c r="B3" s="1">
        <v>197</v>
      </c>
      <c r="C3" s="1">
        <v>171</v>
      </c>
      <c r="D3" s="2">
        <f t="shared" ref="D3:D66" si="0">0.299*A3 + 0.587*B3 + 0.114*C3</f>
        <v>162.34199999999998</v>
      </c>
      <c r="E3" s="3">
        <v>0</v>
      </c>
      <c r="F3" s="3">
        <v>37</v>
      </c>
      <c r="G3" s="3" t="str">
        <f t="shared" ref="G3:G66" si="1">IF(F3&lt;=25,"Mild","Hot")</f>
        <v>Hot</v>
      </c>
      <c r="H3" s="3">
        <f t="shared" ref="H3:H66" si="2">ROUND(MIN(D3*(1+E3/100)*(1-F3/100),255),2)</f>
        <v>102.28</v>
      </c>
      <c r="I3" s="3" t="str">
        <f t="shared" ref="I3:I66" si="3">IF(AND(A2&gt;=B2,A2&gt;=C2),"Red",IF(AND(B2&gt;=A2,B2&gt;=C2),"Green","Blue"))</f>
        <v>Blue</v>
      </c>
      <c r="J3" s="3">
        <f t="shared" ref="J3:J66" si="4">ROUND(H3/255*5,2)</f>
        <v>2.0099999999999998</v>
      </c>
      <c r="K3" s="3">
        <f t="shared" ref="K3:K66" si="5">ROUND(H3*0.8,2)</f>
        <v>81.819999999999993</v>
      </c>
      <c r="L3" s="3">
        <f t="shared" ref="L3:L66" si="6">ROUND(K3/255*5,2)</f>
        <v>1.6</v>
      </c>
      <c r="M3" s="3">
        <f t="shared" ref="M3:M66" si="7">J3 -L3</f>
        <v>0.4099999999999997</v>
      </c>
      <c r="N3" s="3">
        <f t="shared" ref="N3:N66" si="8">ROUND(H3*1.1,2)</f>
        <v>112.51</v>
      </c>
      <c r="O3" s="3">
        <f t="shared" ref="O3:O66" si="9">ROUND(N3/255*5,2)</f>
        <v>2.21</v>
      </c>
      <c r="P3" s="3">
        <f t="shared" ref="P3:P66" si="10">ROUND(H3^(1/2.2),2)</f>
        <v>8.19</v>
      </c>
      <c r="Q3" s="3">
        <f t="shared" ref="Q3:Q66" si="11">ROUND(K3^(1/2.2),2)</f>
        <v>7.4</v>
      </c>
      <c r="R3" s="3">
        <f t="shared" ref="R3:R66" si="12">ROUND(N3^(1/2.2),2)</f>
        <v>8.56</v>
      </c>
    </row>
    <row r="4" spans="1:18" x14ac:dyDescent="0.3">
      <c r="A4" s="1">
        <v>188</v>
      </c>
      <c r="B4" s="1">
        <v>232</v>
      </c>
      <c r="C4" s="1">
        <v>148</v>
      </c>
      <c r="D4" s="2">
        <f t="shared" si="0"/>
        <v>209.26799999999997</v>
      </c>
      <c r="E4" s="3">
        <v>60</v>
      </c>
      <c r="F4" s="3">
        <v>24</v>
      </c>
      <c r="G4" s="3" t="str">
        <f t="shared" si="1"/>
        <v>Mild</v>
      </c>
      <c r="H4" s="3">
        <f t="shared" si="2"/>
        <v>254.47</v>
      </c>
      <c r="I4" s="3" t="str">
        <f t="shared" si="3"/>
        <v>Green</v>
      </c>
      <c r="J4" s="3">
        <f t="shared" si="4"/>
        <v>4.99</v>
      </c>
      <c r="K4" s="3">
        <f t="shared" si="5"/>
        <v>203.58</v>
      </c>
      <c r="L4" s="3">
        <f t="shared" si="6"/>
        <v>3.99</v>
      </c>
      <c r="M4" s="3">
        <f t="shared" si="7"/>
        <v>1</v>
      </c>
      <c r="N4" s="3">
        <f t="shared" si="8"/>
        <v>279.92</v>
      </c>
      <c r="O4" s="3">
        <f t="shared" si="9"/>
        <v>5.49</v>
      </c>
      <c r="P4" s="3">
        <f t="shared" si="10"/>
        <v>12.4</v>
      </c>
      <c r="Q4" s="3">
        <f t="shared" si="11"/>
        <v>11.21</v>
      </c>
      <c r="R4" s="3">
        <f t="shared" si="12"/>
        <v>12.95</v>
      </c>
    </row>
    <row r="5" spans="1:18" x14ac:dyDescent="0.3">
      <c r="A5" s="1">
        <v>122</v>
      </c>
      <c r="B5" s="1">
        <v>253</v>
      </c>
      <c r="C5" s="1">
        <v>151</v>
      </c>
      <c r="D5" s="2">
        <f t="shared" si="0"/>
        <v>202.203</v>
      </c>
      <c r="E5" s="3">
        <v>20</v>
      </c>
      <c r="F5" s="3">
        <v>20</v>
      </c>
      <c r="G5" s="3" t="str">
        <f t="shared" si="1"/>
        <v>Mild</v>
      </c>
      <c r="H5" s="3">
        <f t="shared" si="2"/>
        <v>194.11</v>
      </c>
      <c r="I5" s="3" t="str">
        <f t="shared" si="3"/>
        <v>Green</v>
      </c>
      <c r="J5" s="3">
        <f t="shared" si="4"/>
        <v>3.81</v>
      </c>
      <c r="K5" s="3">
        <f t="shared" si="5"/>
        <v>155.29</v>
      </c>
      <c r="L5" s="3">
        <f t="shared" si="6"/>
        <v>3.04</v>
      </c>
      <c r="M5" s="3">
        <f t="shared" si="7"/>
        <v>0.77</v>
      </c>
      <c r="N5" s="3">
        <f t="shared" si="8"/>
        <v>213.52</v>
      </c>
      <c r="O5" s="3">
        <f t="shared" si="9"/>
        <v>4.1900000000000004</v>
      </c>
      <c r="P5" s="3">
        <f t="shared" si="10"/>
        <v>10.97</v>
      </c>
      <c r="Q5" s="3">
        <f t="shared" si="11"/>
        <v>9.91</v>
      </c>
      <c r="R5" s="3">
        <f t="shared" si="12"/>
        <v>11.45</v>
      </c>
    </row>
    <row r="6" spans="1:18" x14ac:dyDescent="0.3">
      <c r="A6" s="1">
        <v>119</v>
      </c>
      <c r="B6" s="1">
        <v>192</v>
      </c>
      <c r="C6" s="1">
        <v>196</v>
      </c>
      <c r="D6" s="2">
        <f t="shared" si="0"/>
        <v>170.62899999999999</v>
      </c>
      <c r="E6" s="3">
        <v>0</v>
      </c>
      <c r="F6" s="3">
        <v>27</v>
      </c>
      <c r="G6" s="3" t="str">
        <f t="shared" si="1"/>
        <v>Hot</v>
      </c>
      <c r="H6" s="3">
        <f t="shared" si="2"/>
        <v>124.56</v>
      </c>
      <c r="I6" s="3" t="str">
        <f t="shared" si="3"/>
        <v>Green</v>
      </c>
      <c r="J6" s="3">
        <f t="shared" si="4"/>
        <v>2.44</v>
      </c>
      <c r="K6" s="3">
        <f t="shared" si="5"/>
        <v>99.65</v>
      </c>
      <c r="L6" s="3">
        <f t="shared" si="6"/>
        <v>1.95</v>
      </c>
      <c r="M6" s="3">
        <f t="shared" si="7"/>
        <v>0.49</v>
      </c>
      <c r="N6" s="3">
        <f t="shared" si="8"/>
        <v>137.02000000000001</v>
      </c>
      <c r="O6" s="3">
        <f t="shared" si="9"/>
        <v>2.69</v>
      </c>
      <c r="P6" s="3">
        <f t="shared" si="10"/>
        <v>8.9600000000000009</v>
      </c>
      <c r="Q6" s="3">
        <f t="shared" si="11"/>
        <v>8.1</v>
      </c>
      <c r="R6" s="3">
        <f t="shared" si="12"/>
        <v>9.36</v>
      </c>
    </row>
    <row r="7" spans="1:18" x14ac:dyDescent="0.3">
      <c r="A7" s="1">
        <v>136</v>
      </c>
      <c r="B7" s="1">
        <v>161</v>
      </c>
      <c r="C7" s="1">
        <v>237</v>
      </c>
      <c r="D7" s="2">
        <f t="shared" si="0"/>
        <v>162.18899999999999</v>
      </c>
      <c r="E7" s="3">
        <v>37</v>
      </c>
      <c r="F7" s="3">
        <v>39</v>
      </c>
      <c r="G7" s="3" t="str">
        <f t="shared" si="1"/>
        <v>Hot</v>
      </c>
      <c r="H7" s="3">
        <f t="shared" si="2"/>
        <v>135.54</v>
      </c>
      <c r="I7" s="3" t="str">
        <f t="shared" si="3"/>
        <v>Blue</v>
      </c>
      <c r="J7" s="3">
        <f t="shared" si="4"/>
        <v>2.66</v>
      </c>
      <c r="K7" s="3">
        <f t="shared" si="5"/>
        <v>108.43</v>
      </c>
      <c r="L7" s="3">
        <f t="shared" si="6"/>
        <v>2.13</v>
      </c>
      <c r="M7" s="3">
        <f t="shared" si="7"/>
        <v>0.53000000000000025</v>
      </c>
      <c r="N7" s="3">
        <f t="shared" si="8"/>
        <v>149.09</v>
      </c>
      <c r="O7" s="3">
        <f t="shared" si="9"/>
        <v>2.92</v>
      </c>
      <c r="P7" s="3">
        <f t="shared" si="10"/>
        <v>9.31</v>
      </c>
      <c r="Q7" s="3">
        <f t="shared" si="11"/>
        <v>8.42</v>
      </c>
      <c r="R7" s="3">
        <f t="shared" si="12"/>
        <v>9.73</v>
      </c>
    </row>
    <row r="8" spans="1:18" x14ac:dyDescent="0.3">
      <c r="A8" s="1">
        <v>28</v>
      </c>
      <c r="B8" s="1">
        <v>58</v>
      </c>
      <c r="C8" s="1">
        <v>193</v>
      </c>
      <c r="D8" s="2">
        <f t="shared" si="0"/>
        <v>64.42</v>
      </c>
      <c r="E8" s="3">
        <v>9</v>
      </c>
      <c r="F8" s="3">
        <v>25</v>
      </c>
      <c r="G8" s="3" t="str">
        <f t="shared" si="1"/>
        <v>Mild</v>
      </c>
      <c r="H8" s="3">
        <f t="shared" si="2"/>
        <v>52.66</v>
      </c>
      <c r="I8" s="3" t="str">
        <f t="shared" si="3"/>
        <v>Blue</v>
      </c>
      <c r="J8" s="3">
        <f t="shared" si="4"/>
        <v>1.03</v>
      </c>
      <c r="K8" s="3">
        <f t="shared" si="5"/>
        <v>42.13</v>
      </c>
      <c r="L8" s="3">
        <f t="shared" si="6"/>
        <v>0.83</v>
      </c>
      <c r="M8" s="3">
        <f t="shared" si="7"/>
        <v>0.20000000000000007</v>
      </c>
      <c r="N8" s="3">
        <f t="shared" si="8"/>
        <v>57.93</v>
      </c>
      <c r="O8" s="3">
        <f t="shared" si="9"/>
        <v>1.1399999999999999</v>
      </c>
      <c r="P8" s="3">
        <f t="shared" si="10"/>
        <v>6.06</v>
      </c>
      <c r="Q8" s="3">
        <f t="shared" si="11"/>
        <v>5.48</v>
      </c>
      <c r="R8" s="3">
        <f t="shared" si="12"/>
        <v>6.33</v>
      </c>
    </row>
    <row r="9" spans="1:18" x14ac:dyDescent="0.3">
      <c r="A9" s="1">
        <v>91</v>
      </c>
      <c r="B9" s="1">
        <v>139</v>
      </c>
      <c r="C9" s="1">
        <v>142</v>
      </c>
      <c r="D9" s="2">
        <f t="shared" si="0"/>
        <v>124.99</v>
      </c>
      <c r="E9" s="3">
        <v>88</v>
      </c>
      <c r="F9" s="3">
        <v>22</v>
      </c>
      <c r="G9" s="3" t="str">
        <f t="shared" si="1"/>
        <v>Mild</v>
      </c>
      <c r="H9" s="3">
        <f t="shared" si="2"/>
        <v>183.29</v>
      </c>
      <c r="I9" s="3" t="str">
        <f t="shared" si="3"/>
        <v>Blue</v>
      </c>
      <c r="J9" s="3">
        <f t="shared" si="4"/>
        <v>3.59</v>
      </c>
      <c r="K9" s="3">
        <f t="shared" si="5"/>
        <v>146.63</v>
      </c>
      <c r="L9" s="3">
        <f t="shared" si="6"/>
        <v>2.88</v>
      </c>
      <c r="M9" s="3">
        <f t="shared" si="7"/>
        <v>0.71</v>
      </c>
      <c r="N9" s="3">
        <f t="shared" si="8"/>
        <v>201.62</v>
      </c>
      <c r="O9" s="3">
        <f t="shared" si="9"/>
        <v>3.95</v>
      </c>
      <c r="P9" s="3">
        <f t="shared" si="10"/>
        <v>10.68</v>
      </c>
      <c r="Q9" s="3">
        <f t="shared" si="11"/>
        <v>9.65</v>
      </c>
      <c r="R9" s="3">
        <f t="shared" si="12"/>
        <v>11.16</v>
      </c>
    </row>
    <row r="10" spans="1:18" x14ac:dyDescent="0.3">
      <c r="A10" s="1">
        <v>8</v>
      </c>
      <c r="B10" s="1">
        <v>233</v>
      </c>
      <c r="C10" s="1">
        <v>127</v>
      </c>
      <c r="D10" s="2">
        <f t="shared" si="0"/>
        <v>153.64099999999999</v>
      </c>
      <c r="E10" s="3">
        <v>29</v>
      </c>
      <c r="F10" s="3">
        <v>21</v>
      </c>
      <c r="G10" s="3" t="str">
        <f t="shared" si="1"/>
        <v>Mild</v>
      </c>
      <c r="H10" s="3">
        <f t="shared" si="2"/>
        <v>156.58000000000001</v>
      </c>
      <c r="I10" s="3" t="str">
        <f t="shared" si="3"/>
        <v>Blue</v>
      </c>
      <c r="J10" s="3">
        <f t="shared" si="4"/>
        <v>3.07</v>
      </c>
      <c r="K10" s="3">
        <f t="shared" si="5"/>
        <v>125.26</v>
      </c>
      <c r="L10" s="3">
        <f t="shared" si="6"/>
        <v>2.46</v>
      </c>
      <c r="M10" s="3">
        <f t="shared" si="7"/>
        <v>0.60999999999999988</v>
      </c>
      <c r="N10" s="3">
        <f t="shared" si="8"/>
        <v>172.24</v>
      </c>
      <c r="O10" s="3">
        <f t="shared" si="9"/>
        <v>3.38</v>
      </c>
      <c r="P10" s="3">
        <f t="shared" si="10"/>
        <v>9.9499999999999993</v>
      </c>
      <c r="Q10" s="3">
        <f t="shared" si="11"/>
        <v>8.99</v>
      </c>
      <c r="R10" s="3">
        <f t="shared" si="12"/>
        <v>10.39</v>
      </c>
    </row>
    <row r="11" spans="1:18" x14ac:dyDescent="0.3">
      <c r="A11" s="1">
        <v>50</v>
      </c>
      <c r="B11" s="1">
        <v>237</v>
      </c>
      <c r="C11" s="1">
        <v>129</v>
      </c>
      <c r="D11" s="2">
        <f t="shared" si="0"/>
        <v>168.77499999999998</v>
      </c>
      <c r="E11" s="3">
        <v>12</v>
      </c>
      <c r="F11" s="3">
        <v>36</v>
      </c>
      <c r="G11" s="3" t="str">
        <f t="shared" si="1"/>
        <v>Hot</v>
      </c>
      <c r="H11" s="3">
        <f t="shared" si="2"/>
        <v>120.98</v>
      </c>
      <c r="I11" s="3" t="str">
        <f t="shared" si="3"/>
        <v>Green</v>
      </c>
      <c r="J11" s="3">
        <f t="shared" si="4"/>
        <v>2.37</v>
      </c>
      <c r="K11" s="3">
        <f t="shared" si="5"/>
        <v>96.78</v>
      </c>
      <c r="L11" s="3">
        <f t="shared" si="6"/>
        <v>1.9</v>
      </c>
      <c r="M11" s="3">
        <f t="shared" si="7"/>
        <v>0.4700000000000002</v>
      </c>
      <c r="N11" s="3">
        <f t="shared" si="8"/>
        <v>133.08000000000001</v>
      </c>
      <c r="O11" s="3">
        <f t="shared" si="9"/>
        <v>2.61</v>
      </c>
      <c r="P11" s="3">
        <f t="shared" si="10"/>
        <v>8.84</v>
      </c>
      <c r="Q11" s="3">
        <f t="shared" si="11"/>
        <v>7.99</v>
      </c>
      <c r="R11" s="3">
        <f t="shared" si="12"/>
        <v>9.24</v>
      </c>
    </row>
    <row r="12" spans="1:18" x14ac:dyDescent="0.3">
      <c r="A12" s="1">
        <v>224</v>
      </c>
      <c r="B12" s="1">
        <v>249</v>
      </c>
      <c r="C12" s="1">
        <v>194</v>
      </c>
      <c r="D12" s="2">
        <f t="shared" si="0"/>
        <v>235.255</v>
      </c>
      <c r="E12" s="3">
        <v>100</v>
      </c>
      <c r="F12" s="3">
        <v>31</v>
      </c>
      <c r="G12" s="3" t="str">
        <f t="shared" si="1"/>
        <v>Hot</v>
      </c>
      <c r="H12" s="3">
        <f t="shared" si="2"/>
        <v>255</v>
      </c>
      <c r="I12" s="3" t="str">
        <f t="shared" si="3"/>
        <v>Green</v>
      </c>
      <c r="J12" s="3">
        <f t="shared" si="4"/>
        <v>5</v>
      </c>
      <c r="K12" s="3">
        <f t="shared" si="5"/>
        <v>204</v>
      </c>
      <c r="L12" s="3">
        <f t="shared" si="6"/>
        <v>4</v>
      </c>
      <c r="M12" s="3">
        <f t="shared" si="7"/>
        <v>1</v>
      </c>
      <c r="N12" s="3">
        <f t="shared" si="8"/>
        <v>280.5</v>
      </c>
      <c r="O12" s="3">
        <f t="shared" si="9"/>
        <v>5.5</v>
      </c>
      <c r="P12" s="3">
        <f t="shared" si="10"/>
        <v>12.41</v>
      </c>
      <c r="Q12" s="3">
        <f t="shared" si="11"/>
        <v>11.22</v>
      </c>
      <c r="R12" s="3">
        <f t="shared" si="12"/>
        <v>12.96</v>
      </c>
    </row>
    <row r="13" spans="1:18" x14ac:dyDescent="0.3">
      <c r="A13" s="1">
        <v>78</v>
      </c>
      <c r="B13" s="1">
        <v>191</v>
      </c>
      <c r="C13" s="1">
        <v>216</v>
      </c>
      <c r="D13" s="2">
        <f t="shared" si="0"/>
        <v>160.06299999999999</v>
      </c>
      <c r="E13" s="3">
        <v>79</v>
      </c>
      <c r="F13" s="3">
        <v>31</v>
      </c>
      <c r="G13" s="3" t="str">
        <f t="shared" si="1"/>
        <v>Hot</v>
      </c>
      <c r="H13" s="3">
        <f>ROUND(MIN(D13*(1+E13/100)*(1-F13/100),255),2)</f>
        <v>197.69</v>
      </c>
      <c r="I13" s="3" t="str">
        <f t="shared" si="3"/>
        <v>Green</v>
      </c>
      <c r="J13" s="3">
        <f t="shared" si="4"/>
        <v>3.88</v>
      </c>
      <c r="K13" s="3">
        <f t="shared" si="5"/>
        <v>158.15</v>
      </c>
      <c r="L13" s="3">
        <f t="shared" si="6"/>
        <v>3.1</v>
      </c>
      <c r="M13" s="3">
        <f t="shared" si="7"/>
        <v>0.7799999999999998</v>
      </c>
      <c r="N13" s="3">
        <f t="shared" si="8"/>
        <v>217.46</v>
      </c>
      <c r="O13" s="3">
        <f t="shared" si="9"/>
        <v>4.26</v>
      </c>
      <c r="P13" s="3">
        <f t="shared" si="10"/>
        <v>11.06</v>
      </c>
      <c r="Q13" s="3">
        <f t="shared" si="11"/>
        <v>9.99</v>
      </c>
      <c r="R13" s="3">
        <f t="shared" si="12"/>
        <v>11.55</v>
      </c>
    </row>
    <row r="14" spans="1:18" x14ac:dyDescent="0.3">
      <c r="A14" s="1">
        <v>137</v>
      </c>
      <c r="B14" s="1">
        <v>80</v>
      </c>
      <c r="C14" s="1">
        <v>38</v>
      </c>
      <c r="D14" s="2">
        <f t="shared" si="0"/>
        <v>92.254999999999995</v>
      </c>
      <c r="E14" s="3">
        <v>95</v>
      </c>
      <c r="F14" s="3">
        <v>27</v>
      </c>
      <c r="G14" s="3" t="str">
        <f t="shared" si="1"/>
        <v>Hot</v>
      </c>
      <c r="H14" s="3">
        <f t="shared" si="2"/>
        <v>131.32</v>
      </c>
      <c r="I14" s="3" t="str">
        <f t="shared" si="3"/>
        <v>Blue</v>
      </c>
      <c r="J14" s="3">
        <f t="shared" si="4"/>
        <v>2.57</v>
      </c>
      <c r="K14" s="3">
        <f t="shared" si="5"/>
        <v>105.06</v>
      </c>
      <c r="L14" s="3">
        <f t="shared" si="6"/>
        <v>2.06</v>
      </c>
      <c r="M14" s="3">
        <f t="shared" si="7"/>
        <v>0.50999999999999979</v>
      </c>
      <c r="N14" s="3">
        <f t="shared" si="8"/>
        <v>144.44999999999999</v>
      </c>
      <c r="O14" s="3">
        <f t="shared" si="9"/>
        <v>2.83</v>
      </c>
      <c r="P14" s="3">
        <f t="shared" si="10"/>
        <v>9.18</v>
      </c>
      <c r="Q14" s="3">
        <f t="shared" si="11"/>
        <v>8.3000000000000007</v>
      </c>
      <c r="R14" s="3">
        <f t="shared" si="12"/>
        <v>9.59</v>
      </c>
    </row>
    <row r="15" spans="1:18" x14ac:dyDescent="0.3">
      <c r="A15" s="1">
        <v>196</v>
      </c>
      <c r="B15" s="1">
        <v>244</v>
      </c>
      <c r="C15" s="1">
        <v>35</v>
      </c>
      <c r="D15" s="2">
        <f t="shared" si="0"/>
        <v>205.822</v>
      </c>
      <c r="E15" s="3">
        <v>25</v>
      </c>
      <c r="F15" s="3">
        <v>30</v>
      </c>
      <c r="G15" s="3" t="str">
        <f t="shared" si="1"/>
        <v>Hot</v>
      </c>
      <c r="H15" s="3">
        <f t="shared" si="2"/>
        <v>180.09</v>
      </c>
      <c r="I15" s="3" t="str">
        <f t="shared" si="3"/>
        <v>Red</v>
      </c>
      <c r="J15" s="3">
        <f t="shared" si="4"/>
        <v>3.53</v>
      </c>
      <c r="K15" s="3">
        <f t="shared" si="5"/>
        <v>144.07</v>
      </c>
      <c r="L15" s="3">
        <f t="shared" si="6"/>
        <v>2.82</v>
      </c>
      <c r="M15" s="3">
        <f t="shared" si="7"/>
        <v>0.71</v>
      </c>
      <c r="N15" s="3">
        <f t="shared" si="8"/>
        <v>198.1</v>
      </c>
      <c r="O15" s="3">
        <f t="shared" si="9"/>
        <v>3.88</v>
      </c>
      <c r="P15" s="3">
        <f t="shared" si="10"/>
        <v>10.6</v>
      </c>
      <c r="Q15" s="3">
        <f t="shared" si="11"/>
        <v>9.58</v>
      </c>
      <c r="R15" s="3">
        <f t="shared" si="12"/>
        <v>11.07</v>
      </c>
    </row>
    <row r="16" spans="1:18" x14ac:dyDescent="0.3">
      <c r="A16" s="1">
        <v>6</v>
      </c>
      <c r="B16" s="1">
        <v>250</v>
      </c>
      <c r="C16" s="1">
        <v>72</v>
      </c>
      <c r="D16" s="2">
        <f t="shared" si="0"/>
        <v>156.75200000000001</v>
      </c>
      <c r="E16" s="3">
        <v>53</v>
      </c>
      <c r="F16" s="3">
        <v>27</v>
      </c>
      <c r="G16" s="3" t="str">
        <f t="shared" si="1"/>
        <v>Hot</v>
      </c>
      <c r="H16" s="3">
        <f t="shared" si="2"/>
        <v>175.08</v>
      </c>
      <c r="I16" s="3" t="str">
        <f t="shared" si="3"/>
        <v>Green</v>
      </c>
      <c r="J16" s="3">
        <f t="shared" si="4"/>
        <v>3.43</v>
      </c>
      <c r="K16" s="3">
        <f t="shared" si="5"/>
        <v>140.06</v>
      </c>
      <c r="L16" s="3">
        <f t="shared" si="6"/>
        <v>2.75</v>
      </c>
      <c r="M16" s="3">
        <f t="shared" si="7"/>
        <v>0.68000000000000016</v>
      </c>
      <c r="N16" s="3">
        <f t="shared" si="8"/>
        <v>192.59</v>
      </c>
      <c r="O16" s="3">
        <f t="shared" si="9"/>
        <v>3.78</v>
      </c>
      <c r="P16" s="3">
        <f t="shared" si="10"/>
        <v>10.46</v>
      </c>
      <c r="Q16" s="3">
        <f t="shared" si="11"/>
        <v>9.4499999999999993</v>
      </c>
      <c r="R16" s="3">
        <f t="shared" si="12"/>
        <v>10.93</v>
      </c>
    </row>
    <row r="17" spans="1:18" x14ac:dyDescent="0.3">
      <c r="A17" s="1">
        <v>235</v>
      </c>
      <c r="B17" s="1">
        <v>29</v>
      </c>
      <c r="C17" s="1">
        <v>240</v>
      </c>
      <c r="D17" s="2">
        <f t="shared" si="0"/>
        <v>114.648</v>
      </c>
      <c r="E17" s="3">
        <v>99</v>
      </c>
      <c r="F17" s="3">
        <v>36</v>
      </c>
      <c r="G17" s="3" t="str">
        <f t="shared" si="1"/>
        <v>Hot</v>
      </c>
      <c r="H17" s="3">
        <f t="shared" si="2"/>
        <v>146.02000000000001</v>
      </c>
      <c r="I17" s="3" t="str">
        <f t="shared" si="3"/>
        <v>Green</v>
      </c>
      <c r="J17" s="3">
        <f t="shared" si="4"/>
        <v>2.86</v>
      </c>
      <c r="K17" s="3">
        <f t="shared" si="5"/>
        <v>116.82</v>
      </c>
      <c r="L17" s="3">
        <f t="shared" si="6"/>
        <v>2.29</v>
      </c>
      <c r="M17" s="3">
        <f t="shared" si="7"/>
        <v>0.56999999999999984</v>
      </c>
      <c r="N17" s="3">
        <f t="shared" si="8"/>
        <v>160.62</v>
      </c>
      <c r="O17" s="3">
        <f t="shared" si="9"/>
        <v>3.15</v>
      </c>
      <c r="P17" s="3">
        <f t="shared" si="10"/>
        <v>9.6300000000000008</v>
      </c>
      <c r="Q17" s="3">
        <f t="shared" si="11"/>
        <v>8.7100000000000009</v>
      </c>
      <c r="R17" s="3">
        <f t="shared" si="12"/>
        <v>10.06</v>
      </c>
    </row>
    <row r="18" spans="1:18" x14ac:dyDescent="0.3">
      <c r="A18" s="1">
        <v>254</v>
      </c>
      <c r="B18" s="1">
        <v>71</v>
      </c>
      <c r="C18" s="1">
        <v>74</v>
      </c>
      <c r="D18" s="2">
        <f t="shared" si="0"/>
        <v>126.059</v>
      </c>
      <c r="E18" s="3">
        <v>27</v>
      </c>
      <c r="F18" s="3">
        <v>28</v>
      </c>
      <c r="G18" s="3" t="str">
        <f t="shared" si="1"/>
        <v>Hot</v>
      </c>
      <c r="H18" s="3">
        <f t="shared" si="2"/>
        <v>115.27</v>
      </c>
      <c r="I18" s="3" t="str">
        <f t="shared" si="3"/>
        <v>Blue</v>
      </c>
      <c r="J18" s="3">
        <f t="shared" si="4"/>
        <v>2.2599999999999998</v>
      </c>
      <c r="K18" s="3">
        <f t="shared" si="5"/>
        <v>92.22</v>
      </c>
      <c r="L18" s="3">
        <f t="shared" si="6"/>
        <v>1.81</v>
      </c>
      <c r="M18" s="3">
        <f t="shared" si="7"/>
        <v>0.44999999999999973</v>
      </c>
      <c r="N18" s="3">
        <f t="shared" si="8"/>
        <v>126.8</v>
      </c>
      <c r="O18" s="3">
        <f t="shared" si="9"/>
        <v>2.4900000000000002</v>
      </c>
      <c r="P18" s="3">
        <f t="shared" si="10"/>
        <v>8.65</v>
      </c>
      <c r="Q18" s="3">
        <f t="shared" si="11"/>
        <v>7.82</v>
      </c>
      <c r="R18" s="3">
        <f t="shared" si="12"/>
        <v>9.0399999999999991</v>
      </c>
    </row>
    <row r="19" spans="1:18" x14ac:dyDescent="0.3">
      <c r="A19" s="1">
        <v>187</v>
      </c>
      <c r="B19" s="1">
        <v>118</v>
      </c>
      <c r="C19" s="1">
        <v>171</v>
      </c>
      <c r="D19" s="2">
        <f t="shared" si="0"/>
        <v>144.673</v>
      </c>
      <c r="E19" s="3">
        <v>50</v>
      </c>
      <c r="F19" s="3">
        <v>23</v>
      </c>
      <c r="G19" s="3" t="str">
        <f t="shared" si="1"/>
        <v>Mild</v>
      </c>
      <c r="H19" s="3">
        <f t="shared" si="2"/>
        <v>167.1</v>
      </c>
      <c r="I19" s="3" t="str">
        <f t="shared" si="3"/>
        <v>Red</v>
      </c>
      <c r="J19" s="3">
        <f t="shared" si="4"/>
        <v>3.28</v>
      </c>
      <c r="K19" s="3">
        <f t="shared" si="5"/>
        <v>133.68</v>
      </c>
      <c r="L19" s="3">
        <f t="shared" si="6"/>
        <v>2.62</v>
      </c>
      <c r="M19" s="3">
        <f t="shared" si="7"/>
        <v>0.6599999999999997</v>
      </c>
      <c r="N19" s="3">
        <f t="shared" si="8"/>
        <v>183.81</v>
      </c>
      <c r="O19" s="3">
        <f t="shared" si="9"/>
        <v>3.6</v>
      </c>
      <c r="P19" s="3">
        <f t="shared" si="10"/>
        <v>10.24</v>
      </c>
      <c r="Q19" s="3">
        <f t="shared" si="11"/>
        <v>9.26</v>
      </c>
      <c r="R19" s="3">
        <f t="shared" si="12"/>
        <v>10.7</v>
      </c>
    </row>
    <row r="20" spans="1:18" x14ac:dyDescent="0.3">
      <c r="A20" s="1">
        <v>19</v>
      </c>
      <c r="B20" s="1">
        <v>239</v>
      </c>
      <c r="C20" s="1">
        <v>222</v>
      </c>
      <c r="D20" s="2">
        <f t="shared" si="0"/>
        <v>171.28199999999998</v>
      </c>
      <c r="E20" s="3">
        <v>53</v>
      </c>
      <c r="F20" s="3">
        <v>22</v>
      </c>
      <c r="G20" s="3" t="str">
        <f t="shared" si="1"/>
        <v>Mild</v>
      </c>
      <c r="H20" s="3">
        <f t="shared" si="2"/>
        <v>204.41</v>
      </c>
      <c r="I20" s="3" t="str">
        <f t="shared" si="3"/>
        <v>Red</v>
      </c>
      <c r="J20" s="3">
        <f t="shared" si="4"/>
        <v>4.01</v>
      </c>
      <c r="K20" s="3">
        <f t="shared" si="5"/>
        <v>163.53</v>
      </c>
      <c r="L20" s="3">
        <f t="shared" si="6"/>
        <v>3.21</v>
      </c>
      <c r="M20" s="3">
        <f t="shared" si="7"/>
        <v>0.79999999999999982</v>
      </c>
      <c r="N20" s="3">
        <f t="shared" si="8"/>
        <v>224.85</v>
      </c>
      <c r="O20" s="3">
        <f t="shared" si="9"/>
        <v>4.41</v>
      </c>
      <c r="P20" s="3">
        <f t="shared" si="10"/>
        <v>11.23</v>
      </c>
      <c r="Q20" s="3">
        <f t="shared" si="11"/>
        <v>10.14</v>
      </c>
      <c r="R20" s="3">
        <f t="shared" si="12"/>
        <v>11.72</v>
      </c>
    </row>
    <row r="21" spans="1:18" x14ac:dyDescent="0.3">
      <c r="A21" s="1">
        <v>3</v>
      </c>
      <c r="B21" s="1">
        <v>52</v>
      </c>
      <c r="C21" s="1">
        <v>61</v>
      </c>
      <c r="D21" s="2">
        <f t="shared" si="0"/>
        <v>38.375</v>
      </c>
      <c r="E21" s="3">
        <v>12</v>
      </c>
      <c r="F21" s="3">
        <v>34</v>
      </c>
      <c r="G21" s="3" t="str">
        <f t="shared" si="1"/>
        <v>Hot</v>
      </c>
      <c r="H21" s="3">
        <f t="shared" si="2"/>
        <v>28.37</v>
      </c>
      <c r="I21" s="3" t="str">
        <f t="shared" si="3"/>
        <v>Green</v>
      </c>
      <c r="J21" s="3">
        <f t="shared" si="4"/>
        <v>0.56000000000000005</v>
      </c>
      <c r="K21" s="3">
        <f t="shared" si="5"/>
        <v>22.7</v>
      </c>
      <c r="L21" s="3">
        <f t="shared" si="6"/>
        <v>0.45</v>
      </c>
      <c r="M21" s="3">
        <f t="shared" si="7"/>
        <v>0.11000000000000004</v>
      </c>
      <c r="N21" s="3">
        <f t="shared" si="8"/>
        <v>31.21</v>
      </c>
      <c r="O21" s="3">
        <f t="shared" si="9"/>
        <v>0.61</v>
      </c>
      <c r="P21" s="3">
        <f t="shared" si="10"/>
        <v>4.57</v>
      </c>
      <c r="Q21" s="3">
        <f t="shared" si="11"/>
        <v>4.13</v>
      </c>
      <c r="R21" s="3">
        <f t="shared" si="12"/>
        <v>4.78</v>
      </c>
    </row>
    <row r="22" spans="1:18" x14ac:dyDescent="0.3">
      <c r="A22" s="1">
        <v>198</v>
      </c>
      <c r="B22" s="1">
        <v>235</v>
      </c>
      <c r="C22" s="1">
        <v>155</v>
      </c>
      <c r="D22" s="2">
        <f t="shared" si="0"/>
        <v>214.81700000000001</v>
      </c>
      <c r="E22" s="3">
        <v>56</v>
      </c>
      <c r="F22" s="3">
        <v>25</v>
      </c>
      <c r="G22" s="3" t="str">
        <f t="shared" si="1"/>
        <v>Mild</v>
      </c>
      <c r="H22" s="3">
        <f>ROUND(MIN(D22*(1+E22/100)*(1-F22/100),255),2)</f>
        <v>251.34</v>
      </c>
      <c r="I22" s="3" t="str">
        <f t="shared" si="3"/>
        <v>Blue</v>
      </c>
      <c r="J22" s="3">
        <f t="shared" si="4"/>
        <v>4.93</v>
      </c>
      <c r="K22" s="3">
        <f t="shared" si="5"/>
        <v>201.07</v>
      </c>
      <c r="L22" s="3">
        <f t="shared" si="6"/>
        <v>3.94</v>
      </c>
      <c r="M22" s="3">
        <f t="shared" si="7"/>
        <v>0.98999999999999977</v>
      </c>
      <c r="N22" s="3">
        <f t="shared" si="8"/>
        <v>276.47000000000003</v>
      </c>
      <c r="O22" s="3">
        <f t="shared" si="9"/>
        <v>5.42</v>
      </c>
      <c r="P22" s="3">
        <f t="shared" si="10"/>
        <v>12.33</v>
      </c>
      <c r="Q22" s="3">
        <f t="shared" si="11"/>
        <v>11.14</v>
      </c>
      <c r="R22" s="3">
        <f t="shared" si="12"/>
        <v>12.88</v>
      </c>
    </row>
    <row r="23" spans="1:18" x14ac:dyDescent="0.3">
      <c r="A23" s="1">
        <v>144</v>
      </c>
      <c r="B23" s="1">
        <v>16</v>
      </c>
      <c r="C23" s="1">
        <v>161</v>
      </c>
      <c r="D23" s="2">
        <f t="shared" si="0"/>
        <v>70.801999999999992</v>
      </c>
      <c r="E23" s="3">
        <v>83</v>
      </c>
      <c r="F23" s="3">
        <v>34</v>
      </c>
      <c r="G23" s="3" t="str">
        <f t="shared" si="1"/>
        <v>Hot</v>
      </c>
      <c r="H23" s="3">
        <f t="shared" si="2"/>
        <v>85.51</v>
      </c>
      <c r="I23" s="3" t="str">
        <f t="shared" si="3"/>
        <v>Green</v>
      </c>
      <c r="J23" s="3">
        <f t="shared" si="4"/>
        <v>1.68</v>
      </c>
      <c r="K23" s="3">
        <f t="shared" si="5"/>
        <v>68.41</v>
      </c>
      <c r="L23" s="3">
        <f t="shared" si="6"/>
        <v>1.34</v>
      </c>
      <c r="M23" s="3">
        <f t="shared" si="7"/>
        <v>0.33999999999999986</v>
      </c>
      <c r="N23" s="3">
        <f t="shared" si="8"/>
        <v>94.06</v>
      </c>
      <c r="O23" s="3">
        <f t="shared" si="9"/>
        <v>1.84</v>
      </c>
      <c r="P23" s="3">
        <f t="shared" si="10"/>
        <v>7.55</v>
      </c>
      <c r="Q23" s="3">
        <f t="shared" si="11"/>
        <v>6.83</v>
      </c>
      <c r="R23" s="3">
        <f t="shared" si="12"/>
        <v>7.89</v>
      </c>
    </row>
    <row r="24" spans="1:18" x14ac:dyDescent="0.3">
      <c r="A24" s="1">
        <v>207</v>
      </c>
      <c r="B24" s="1">
        <v>221</v>
      </c>
      <c r="C24" s="1">
        <v>93</v>
      </c>
      <c r="D24" s="2">
        <f t="shared" si="0"/>
        <v>202.22200000000001</v>
      </c>
      <c r="E24" s="3">
        <v>45</v>
      </c>
      <c r="F24" s="3">
        <v>26</v>
      </c>
      <c r="G24" s="3" t="str">
        <f t="shared" si="1"/>
        <v>Hot</v>
      </c>
      <c r="H24" s="3">
        <f t="shared" si="2"/>
        <v>216.98</v>
      </c>
      <c r="I24" s="3" t="str">
        <f t="shared" si="3"/>
        <v>Blue</v>
      </c>
      <c r="J24" s="3">
        <f t="shared" si="4"/>
        <v>4.25</v>
      </c>
      <c r="K24" s="3">
        <f t="shared" si="5"/>
        <v>173.58</v>
      </c>
      <c r="L24" s="3">
        <f t="shared" si="6"/>
        <v>3.4</v>
      </c>
      <c r="M24" s="3">
        <f t="shared" si="7"/>
        <v>0.85000000000000009</v>
      </c>
      <c r="N24" s="3">
        <f t="shared" si="8"/>
        <v>238.68</v>
      </c>
      <c r="O24" s="3">
        <f t="shared" si="9"/>
        <v>4.68</v>
      </c>
      <c r="P24" s="3">
        <f t="shared" si="10"/>
        <v>11.53</v>
      </c>
      <c r="Q24" s="3">
        <f t="shared" si="11"/>
        <v>10.42</v>
      </c>
      <c r="R24" s="3">
        <f t="shared" si="12"/>
        <v>12.05</v>
      </c>
    </row>
    <row r="25" spans="1:18" x14ac:dyDescent="0.3">
      <c r="A25" s="1">
        <v>238</v>
      </c>
      <c r="B25" s="1">
        <v>129</v>
      </c>
      <c r="C25" s="1">
        <v>27</v>
      </c>
      <c r="D25" s="2">
        <f t="shared" si="0"/>
        <v>149.96299999999999</v>
      </c>
      <c r="E25" s="3">
        <v>49</v>
      </c>
      <c r="F25" s="3">
        <v>27</v>
      </c>
      <c r="G25" s="3" t="str">
        <f t="shared" si="1"/>
        <v>Hot</v>
      </c>
      <c r="H25" s="3">
        <f t="shared" si="2"/>
        <v>163.11000000000001</v>
      </c>
      <c r="I25" s="3" t="str">
        <f t="shared" si="3"/>
        <v>Green</v>
      </c>
      <c r="J25" s="3">
        <f t="shared" si="4"/>
        <v>3.2</v>
      </c>
      <c r="K25" s="3">
        <f t="shared" si="5"/>
        <v>130.49</v>
      </c>
      <c r="L25" s="3">
        <f t="shared" si="6"/>
        <v>2.56</v>
      </c>
      <c r="M25" s="3">
        <f t="shared" si="7"/>
        <v>0.64000000000000012</v>
      </c>
      <c r="N25" s="3">
        <f t="shared" si="8"/>
        <v>179.42</v>
      </c>
      <c r="O25" s="3">
        <f t="shared" si="9"/>
        <v>3.52</v>
      </c>
      <c r="P25" s="3">
        <f t="shared" si="10"/>
        <v>10.130000000000001</v>
      </c>
      <c r="Q25" s="3">
        <f t="shared" si="11"/>
        <v>9.15</v>
      </c>
      <c r="R25" s="3">
        <f t="shared" si="12"/>
        <v>10.58</v>
      </c>
    </row>
    <row r="26" spans="1:18" x14ac:dyDescent="0.3">
      <c r="A26" s="1">
        <v>85</v>
      </c>
      <c r="B26" s="1">
        <v>64</v>
      </c>
      <c r="C26" s="1">
        <v>225</v>
      </c>
      <c r="D26" s="2">
        <f t="shared" si="0"/>
        <v>88.632999999999996</v>
      </c>
      <c r="E26" s="3">
        <v>14</v>
      </c>
      <c r="F26" s="3">
        <v>27</v>
      </c>
      <c r="G26" s="3" t="str">
        <f t="shared" si="1"/>
        <v>Hot</v>
      </c>
      <c r="H26" s="3">
        <f t="shared" si="2"/>
        <v>73.760000000000005</v>
      </c>
      <c r="I26" s="3" t="str">
        <f t="shared" si="3"/>
        <v>Red</v>
      </c>
      <c r="J26" s="3">
        <f t="shared" si="4"/>
        <v>1.45</v>
      </c>
      <c r="K26" s="3">
        <f t="shared" si="5"/>
        <v>59.01</v>
      </c>
      <c r="L26" s="3">
        <f t="shared" si="6"/>
        <v>1.1599999999999999</v>
      </c>
      <c r="M26" s="3">
        <f t="shared" si="7"/>
        <v>0.29000000000000004</v>
      </c>
      <c r="N26" s="3">
        <f t="shared" si="8"/>
        <v>81.14</v>
      </c>
      <c r="O26" s="3">
        <f t="shared" si="9"/>
        <v>1.59</v>
      </c>
      <c r="P26" s="3">
        <f t="shared" si="10"/>
        <v>7.06</v>
      </c>
      <c r="Q26" s="3">
        <f t="shared" si="11"/>
        <v>6.38</v>
      </c>
      <c r="R26" s="3">
        <f t="shared" si="12"/>
        <v>7.38</v>
      </c>
    </row>
    <row r="27" spans="1:18" x14ac:dyDescent="0.3">
      <c r="A27" s="1">
        <v>62</v>
      </c>
      <c r="B27" s="1">
        <v>238</v>
      </c>
      <c r="C27" s="1">
        <v>37</v>
      </c>
      <c r="D27" s="2">
        <f t="shared" si="0"/>
        <v>162.46199999999999</v>
      </c>
      <c r="E27" s="3">
        <v>82</v>
      </c>
      <c r="F27" s="3">
        <v>40</v>
      </c>
      <c r="G27" s="3" t="str">
        <f t="shared" si="1"/>
        <v>Hot</v>
      </c>
      <c r="H27" s="3">
        <f t="shared" si="2"/>
        <v>177.41</v>
      </c>
      <c r="I27" s="3" t="str">
        <f t="shared" si="3"/>
        <v>Blue</v>
      </c>
      <c r="J27" s="3">
        <f t="shared" si="4"/>
        <v>3.48</v>
      </c>
      <c r="K27" s="3">
        <f t="shared" si="5"/>
        <v>141.93</v>
      </c>
      <c r="L27" s="3">
        <f t="shared" si="6"/>
        <v>2.78</v>
      </c>
      <c r="M27" s="3">
        <f t="shared" si="7"/>
        <v>0.70000000000000018</v>
      </c>
      <c r="N27" s="3">
        <f t="shared" si="8"/>
        <v>195.15</v>
      </c>
      <c r="O27" s="3">
        <f t="shared" si="9"/>
        <v>3.83</v>
      </c>
      <c r="P27" s="3">
        <f t="shared" si="10"/>
        <v>10.53</v>
      </c>
      <c r="Q27" s="3">
        <f t="shared" si="11"/>
        <v>9.51</v>
      </c>
      <c r="R27" s="3">
        <f t="shared" si="12"/>
        <v>10.99</v>
      </c>
    </row>
    <row r="28" spans="1:18" x14ac:dyDescent="0.3">
      <c r="A28" s="1">
        <v>42</v>
      </c>
      <c r="B28" s="1">
        <v>210</v>
      </c>
      <c r="C28" s="1">
        <v>151</v>
      </c>
      <c r="D28" s="2">
        <f t="shared" si="0"/>
        <v>153.042</v>
      </c>
      <c r="E28" s="3">
        <v>26</v>
      </c>
      <c r="F28" s="3">
        <v>20</v>
      </c>
      <c r="G28" s="3" t="str">
        <f t="shared" si="1"/>
        <v>Mild</v>
      </c>
      <c r="H28" s="3">
        <f t="shared" si="2"/>
        <v>154.27000000000001</v>
      </c>
      <c r="I28" s="3" t="str">
        <f t="shared" si="3"/>
        <v>Green</v>
      </c>
      <c r="J28" s="3">
        <f t="shared" si="4"/>
        <v>3.02</v>
      </c>
      <c r="K28" s="3">
        <f t="shared" si="5"/>
        <v>123.42</v>
      </c>
      <c r="L28" s="3">
        <f t="shared" si="6"/>
        <v>2.42</v>
      </c>
      <c r="M28" s="3">
        <f t="shared" si="7"/>
        <v>0.60000000000000009</v>
      </c>
      <c r="N28" s="3">
        <f t="shared" si="8"/>
        <v>169.7</v>
      </c>
      <c r="O28" s="3">
        <f t="shared" si="9"/>
        <v>3.33</v>
      </c>
      <c r="P28" s="3">
        <f t="shared" si="10"/>
        <v>9.8800000000000008</v>
      </c>
      <c r="Q28" s="3">
        <f t="shared" si="11"/>
        <v>8.93</v>
      </c>
      <c r="R28" s="3">
        <f t="shared" si="12"/>
        <v>10.32</v>
      </c>
    </row>
    <row r="29" spans="1:18" x14ac:dyDescent="0.3">
      <c r="A29" s="1">
        <v>241</v>
      </c>
      <c r="B29" s="1">
        <v>64</v>
      </c>
      <c r="C29" s="1">
        <v>3</v>
      </c>
      <c r="D29" s="2">
        <f t="shared" si="0"/>
        <v>109.96899999999999</v>
      </c>
      <c r="E29" s="3">
        <v>70</v>
      </c>
      <c r="F29" s="3">
        <v>22</v>
      </c>
      <c r="G29" s="3" t="str">
        <f t="shared" si="1"/>
        <v>Mild</v>
      </c>
      <c r="H29" s="3">
        <f t="shared" si="2"/>
        <v>145.82</v>
      </c>
      <c r="I29" s="3" t="str">
        <f t="shared" si="3"/>
        <v>Green</v>
      </c>
      <c r="J29" s="3">
        <f t="shared" si="4"/>
        <v>2.86</v>
      </c>
      <c r="K29" s="3">
        <f t="shared" si="5"/>
        <v>116.66</v>
      </c>
      <c r="L29" s="3">
        <f t="shared" si="6"/>
        <v>2.29</v>
      </c>
      <c r="M29" s="3">
        <f t="shared" si="7"/>
        <v>0.56999999999999984</v>
      </c>
      <c r="N29" s="3">
        <f t="shared" si="8"/>
        <v>160.4</v>
      </c>
      <c r="O29" s="3">
        <f t="shared" si="9"/>
        <v>3.15</v>
      </c>
      <c r="P29" s="3">
        <f t="shared" si="10"/>
        <v>9.6300000000000008</v>
      </c>
      <c r="Q29" s="3">
        <f t="shared" si="11"/>
        <v>8.6999999999999993</v>
      </c>
      <c r="R29" s="3">
        <f t="shared" si="12"/>
        <v>10.050000000000001</v>
      </c>
    </row>
    <row r="30" spans="1:18" x14ac:dyDescent="0.3">
      <c r="A30" s="1">
        <v>160</v>
      </c>
      <c r="B30" s="1">
        <v>248</v>
      </c>
      <c r="C30" s="1">
        <v>29</v>
      </c>
      <c r="D30" s="2">
        <f t="shared" si="0"/>
        <v>196.72200000000001</v>
      </c>
      <c r="E30" s="3">
        <v>26</v>
      </c>
      <c r="F30" s="3">
        <v>32</v>
      </c>
      <c r="G30" s="3" t="str">
        <f t="shared" si="1"/>
        <v>Hot</v>
      </c>
      <c r="H30" s="3">
        <f t="shared" si="2"/>
        <v>168.55</v>
      </c>
      <c r="I30" s="3" t="str">
        <f t="shared" si="3"/>
        <v>Red</v>
      </c>
      <c r="J30" s="3">
        <f t="shared" si="4"/>
        <v>3.3</v>
      </c>
      <c r="K30" s="3">
        <f t="shared" si="5"/>
        <v>134.84</v>
      </c>
      <c r="L30" s="3">
        <f t="shared" si="6"/>
        <v>2.64</v>
      </c>
      <c r="M30" s="3">
        <f t="shared" si="7"/>
        <v>0.6599999999999997</v>
      </c>
      <c r="N30" s="3">
        <f t="shared" si="8"/>
        <v>185.41</v>
      </c>
      <c r="O30" s="3">
        <f t="shared" si="9"/>
        <v>3.64</v>
      </c>
      <c r="P30" s="3">
        <f t="shared" si="10"/>
        <v>10.28</v>
      </c>
      <c r="Q30" s="3">
        <f t="shared" si="11"/>
        <v>9.2899999999999991</v>
      </c>
      <c r="R30" s="3">
        <f t="shared" si="12"/>
        <v>10.74</v>
      </c>
    </row>
    <row r="31" spans="1:18" x14ac:dyDescent="0.3">
      <c r="A31" s="1">
        <v>250</v>
      </c>
      <c r="B31" s="1">
        <v>173</v>
      </c>
      <c r="C31" s="1">
        <v>203</v>
      </c>
      <c r="D31" s="2">
        <f t="shared" si="0"/>
        <v>199.44299999999998</v>
      </c>
      <c r="E31" s="3">
        <v>78</v>
      </c>
      <c r="F31" s="3">
        <v>20</v>
      </c>
      <c r="G31" s="3" t="str">
        <f t="shared" si="1"/>
        <v>Mild</v>
      </c>
      <c r="H31" s="3">
        <f t="shared" si="2"/>
        <v>255</v>
      </c>
      <c r="I31" s="3" t="str">
        <f t="shared" si="3"/>
        <v>Green</v>
      </c>
      <c r="J31" s="3">
        <f t="shared" si="4"/>
        <v>5</v>
      </c>
      <c r="K31" s="3">
        <f t="shared" si="5"/>
        <v>204</v>
      </c>
      <c r="L31" s="3">
        <f t="shared" si="6"/>
        <v>4</v>
      </c>
      <c r="M31" s="3">
        <f t="shared" si="7"/>
        <v>1</v>
      </c>
      <c r="N31" s="3">
        <f t="shared" si="8"/>
        <v>280.5</v>
      </c>
      <c r="O31" s="3">
        <f t="shared" si="9"/>
        <v>5.5</v>
      </c>
      <c r="P31" s="3">
        <f t="shared" si="10"/>
        <v>12.41</v>
      </c>
      <c r="Q31" s="3">
        <f t="shared" si="11"/>
        <v>11.22</v>
      </c>
      <c r="R31" s="3">
        <f t="shared" si="12"/>
        <v>12.96</v>
      </c>
    </row>
    <row r="32" spans="1:18" x14ac:dyDescent="0.3">
      <c r="A32" s="1">
        <v>185</v>
      </c>
      <c r="B32" s="1">
        <v>227</v>
      </c>
      <c r="C32" s="1">
        <v>241</v>
      </c>
      <c r="D32" s="2">
        <f t="shared" si="0"/>
        <v>216.03799999999998</v>
      </c>
      <c r="E32" s="3">
        <v>71</v>
      </c>
      <c r="F32" s="3">
        <v>26</v>
      </c>
      <c r="G32" s="3" t="str">
        <f t="shared" si="1"/>
        <v>Hot</v>
      </c>
      <c r="H32" s="3">
        <f t="shared" si="2"/>
        <v>255</v>
      </c>
      <c r="I32" s="3" t="str">
        <f t="shared" si="3"/>
        <v>Red</v>
      </c>
      <c r="J32" s="3">
        <f t="shared" si="4"/>
        <v>5</v>
      </c>
      <c r="K32" s="3">
        <f t="shared" si="5"/>
        <v>204</v>
      </c>
      <c r="L32" s="3">
        <f t="shared" si="6"/>
        <v>4</v>
      </c>
      <c r="M32" s="3">
        <f t="shared" si="7"/>
        <v>1</v>
      </c>
      <c r="N32" s="3">
        <f t="shared" si="8"/>
        <v>280.5</v>
      </c>
      <c r="O32" s="3">
        <f t="shared" si="9"/>
        <v>5.5</v>
      </c>
      <c r="P32" s="3">
        <f t="shared" si="10"/>
        <v>12.41</v>
      </c>
      <c r="Q32" s="3">
        <f t="shared" si="11"/>
        <v>11.22</v>
      </c>
      <c r="R32" s="3">
        <f t="shared" si="12"/>
        <v>12.96</v>
      </c>
    </row>
    <row r="33" spans="1:18" x14ac:dyDescent="0.3">
      <c r="A33" s="1">
        <v>101</v>
      </c>
      <c r="B33" s="1">
        <v>157</v>
      </c>
      <c r="C33" s="1">
        <v>40</v>
      </c>
      <c r="D33" s="2">
        <f t="shared" si="0"/>
        <v>126.91799999999999</v>
      </c>
      <c r="E33" s="3">
        <v>45</v>
      </c>
      <c r="F33" s="3">
        <v>38</v>
      </c>
      <c r="G33" s="3" t="str">
        <f t="shared" si="1"/>
        <v>Hot</v>
      </c>
      <c r="H33" s="3">
        <f t="shared" si="2"/>
        <v>114.1</v>
      </c>
      <c r="I33" s="3" t="str">
        <f t="shared" si="3"/>
        <v>Blue</v>
      </c>
      <c r="J33" s="3">
        <f t="shared" si="4"/>
        <v>2.2400000000000002</v>
      </c>
      <c r="K33" s="3">
        <f t="shared" si="5"/>
        <v>91.28</v>
      </c>
      <c r="L33" s="3">
        <f t="shared" si="6"/>
        <v>1.79</v>
      </c>
      <c r="M33" s="3">
        <f t="shared" si="7"/>
        <v>0.45000000000000018</v>
      </c>
      <c r="N33" s="3">
        <f t="shared" si="8"/>
        <v>125.51</v>
      </c>
      <c r="O33" s="3">
        <f t="shared" si="9"/>
        <v>2.46</v>
      </c>
      <c r="P33" s="3">
        <f t="shared" si="10"/>
        <v>8.61</v>
      </c>
      <c r="Q33" s="3">
        <f t="shared" si="11"/>
        <v>7.78</v>
      </c>
      <c r="R33" s="3">
        <f t="shared" si="12"/>
        <v>8.99</v>
      </c>
    </row>
    <row r="34" spans="1:18" x14ac:dyDescent="0.3">
      <c r="A34" s="1">
        <v>35</v>
      </c>
      <c r="B34" s="1">
        <v>184</v>
      </c>
      <c r="C34" s="1">
        <v>51</v>
      </c>
      <c r="D34" s="2">
        <f t="shared" si="0"/>
        <v>124.28700000000001</v>
      </c>
      <c r="E34" s="3">
        <v>9</v>
      </c>
      <c r="F34" s="3">
        <v>25</v>
      </c>
      <c r="G34" s="3" t="str">
        <f t="shared" si="1"/>
        <v>Mild</v>
      </c>
      <c r="H34" s="3">
        <f t="shared" si="2"/>
        <v>101.6</v>
      </c>
      <c r="I34" s="3" t="str">
        <f t="shared" si="3"/>
        <v>Green</v>
      </c>
      <c r="J34" s="3">
        <f t="shared" si="4"/>
        <v>1.99</v>
      </c>
      <c r="K34" s="3">
        <f t="shared" si="5"/>
        <v>81.28</v>
      </c>
      <c r="L34" s="3">
        <f t="shared" si="6"/>
        <v>1.59</v>
      </c>
      <c r="M34" s="3">
        <f t="shared" si="7"/>
        <v>0.39999999999999991</v>
      </c>
      <c r="N34" s="3">
        <f t="shared" si="8"/>
        <v>111.76</v>
      </c>
      <c r="O34" s="3">
        <f t="shared" si="9"/>
        <v>2.19</v>
      </c>
      <c r="P34" s="3">
        <f t="shared" si="10"/>
        <v>8.17</v>
      </c>
      <c r="Q34" s="3">
        <f t="shared" si="11"/>
        <v>7.38</v>
      </c>
      <c r="R34" s="3">
        <f t="shared" si="12"/>
        <v>8.5299999999999994</v>
      </c>
    </row>
    <row r="35" spans="1:18" x14ac:dyDescent="0.3">
      <c r="A35" s="1">
        <v>87</v>
      </c>
      <c r="B35" s="1">
        <v>27</v>
      </c>
      <c r="C35" s="1">
        <v>4</v>
      </c>
      <c r="D35" s="2">
        <f t="shared" si="0"/>
        <v>42.317999999999998</v>
      </c>
      <c r="E35" s="3">
        <v>42</v>
      </c>
      <c r="F35" s="3">
        <v>28</v>
      </c>
      <c r="G35" s="3" t="str">
        <f t="shared" si="1"/>
        <v>Hot</v>
      </c>
      <c r="H35" s="3">
        <f t="shared" si="2"/>
        <v>43.27</v>
      </c>
      <c r="I35" s="3" t="str">
        <f t="shared" si="3"/>
        <v>Green</v>
      </c>
      <c r="J35" s="3">
        <f t="shared" si="4"/>
        <v>0.85</v>
      </c>
      <c r="K35" s="3">
        <f t="shared" si="5"/>
        <v>34.619999999999997</v>
      </c>
      <c r="L35" s="3">
        <f t="shared" si="6"/>
        <v>0.68</v>
      </c>
      <c r="M35" s="3">
        <f t="shared" si="7"/>
        <v>0.16999999999999993</v>
      </c>
      <c r="N35" s="3">
        <f t="shared" si="8"/>
        <v>47.6</v>
      </c>
      <c r="O35" s="3">
        <f t="shared" si="9"/>
        <v>0.93</v>
      </c>
      <c r="P35" s="3">
        <f t="shared" si="10"/>
        <v>5.54</v>
      </c>
      <c r="Q35" s="3">
        <f t="shared" si="11"/>
        <v>5.01</v>
      </c>
      <c r="R35" s="3">
        <f t="shared" si="12"/>
        <v>5.79</v>
      </c>
    </row>
    <row r="36" spans="1:18" x14ac:dyDescent="0.3">
      <c r="A36" s="1">
        <v>22</v>
      </c>
      <c r="B36" s="1">
        <v>149</v>
      </c>
      <c r="C36" s="1">
        <v>187</v>
      </c>
      <c r="D36" s="2">
        <f t="shared" si="0"/>
        <v>115.35899999999999</v>
      </c>
      <c r="E36" s="3">
        <v>58</v>
      </c>
      <c r="F36" s="3">
        <v>34</v>
      </c>
      <c r="G36" s="3" t="str">
        <f t="shared" si="1"/>
        <v>Hot</v>
      </c>
      <c r="H36" s="3">
        <f t="shared" si="2"/>
        <v>120.3</v>
      </c>
      <c r="I36" s="3" t="str">
        <f t="shared" si="3"/>
        <v>Red</v>
      </c>
      <c r="J36" s="3">
        <f t="shared" si="4"/>
        <v>2.36</v>
      </c>
      <c r="K36" s="3">
        <f t="shared" si="5"/>
        <v>96.24</v>
      </c>
      <c r="L36" s="3">
        <f t="shared" si="6"/>
        <v>1.89</v>
      </c>
      <c r="M36" s="3">
        <f t="shared" si="7"/>
        <v>0.47</v>
      </c>
      <c r="N36" s="3">
        <f t="shared" si="8"/>
        <v>132.33000000000001</v>
      </c>
      <c r="O36" s="3">
        <f t="shared" si="9"/>
        <v>2.59</v>
      </c>
      <c r="P36" s="3">
        <f t="shared" si="10"/>
        <v>8.82</v>
      </c>
      <c r="Q36" s="3">
        <f t="shared" si="11"/>
        <v>7.97</v>
      </c>
      <c r="R36" s="3">
        <f t="shared" si="12"/>
        <v>9.2100000000000009</v>
      </c>
    </row>
    <row r="37" spans="1:18" x14ac:dyDescent="0.3">
      <c r="A37" s="1">
        <v>37</v>
      </c>
      <c r="B37" s="1">
        <v>133</v>
      </c>
      <c r="C37" s="1">
        <v>202</v>
      </c>
      <c r="D37" s="2">
        <f t="shared" si="0"/>
        <v>112.16200000000001</v>
      </c>
      <c r="E37" s="3">
        <v>16</v>
      </c>
      <c r="F37" s="3">
        <v>35</v>
      </c>
      <c r="G37" s="3" t="str">
        <f t="shared" si="1"/>
        <v>Hot</v>
      </c>
      <c r="H37" s="3">
        <f t="shared" si="2"/>
        <v>84.57</v>
      </c>
      <c r="I37" s="3" t="str">
        <f t="shared" si="3"/>
        <v>Blue</v>
      </c>
      <c r="J37" s="3">
        <f t="shared" si="4"/>
        <v>1.66</v>
      </c>
      <c r="K37" s="3">
        <f t="shared" si="5"/>
        <v>67.66</v>
      </c>
      <c r="L37" s="3">
        <f t="shared" si="6"/>
        <v>1.33</v>
      </c>
      <c r="M37" s="3">
        <f t="shared" si="7"/>
        <v>0.32999999999999985</v>
      </c>
      <c r="N37" s="3">
        <f t="shared" si="8"/>
        <v>93.03</v>
      </c>
      <c r="O37" s="3">
        <f t="shared" si="9"/>
        <v>1.82</v>
      </c>
      <c r="P37" s="3">
        <f t="shared" si="10"/>
        <v>7.52</v>
      </c>
      <c r="Q37" s="3">
        <f t="shared" si="11"/>
        <v>6.79</v>
      </c>
      <c r="R37" s="3">
        <f t="shared" si="12"/>
        <v>7.85</v>
      </c>
    </row>
    <row r="38" spans="1:18" x14ac:dyDescent="0.3">
      <c r="A38" s="1">
        <v>46</v>
      </c>
      <c r="B38" s="1">
        <v>177</v>
      </c>
      <c r="C38" s="1">
        <v>121</v>
      </c>
      <c r="D38" s="2">
        <f t="shared" si="0"/>
        <v>131.447</v>
      </c>
      <c r="E38" s="3">
        <v>2</v>
      </c>
      <c r="F38" s="3">
        <v>24</v>
      </c>
      <c r="G38" s="3" t="str">
        <f t="shared" si="1"/>
        <v>Mild</v>
      </c>
      <c r="H38" s="3">
        <f t="shared" si="2"/>
        <v>101.9</v>
      </c>
      <c r="I38" s="3" t="str">
        <f t="shared" si="3"/>
        <v>Blue</v>
      </c>
      <c r="J38" s="3">
        <f t="shared" si="4"/>
        <v>2</v>
      </c>
      <c r="K38" s="3">
        <f t="shared" si="5"/>
        <v>81.52</v>
      </c>
      <c r="L38" s="3">
        <f t="shared" si="6"/>
        <v>1.6</v>
      </c>
      <c r="M38" s="3">
        <f t="shared" si="7"/>
        <v>0.39999999999999991</v>
      </c>
      <c r="N38" s="3">
        <f t="shared" si="8"/>
        <v>112.09</v>
      </c>
      <c r="O38" s="3">
        <f t="shared" si="9"/>
        <v>2.2000000000000002</v>
      </c>
      <c r="P38" s="3">
        <f t="shared" si="10"/>
        <v>8.18</v>
      </c>
      <c r="Q38" s="3">
        <f t="shared" si="11"/>
        <v>7.39</v>
      </c>
      <c r="R38" s="3">
        <f t="shared" si="12"/>
        <v>8.5399999999999991</v>
      </c>
    </row>
    <row r="39" spans="1:18" x14ac:dyDescent="0.3">
      <c r="A39" s="1">
        <v>65</v>
      </c>
      <c r="B39" s="1">
        <v>24</v>
      </c>
      <c r="C39" s="1">
        <v>42</v>
      </c>
      <c r="D39" s="2">
        <f t="shared" si="0"/>
        <v>38.310999999999993</v>
      </c>
      <c r="E39" s="3">
        <v>2</v>
      </c>
      <c r="F39" s="3">
        <v>37</v>
      </c>
      <c r="G39" s="3" t="str">
        <f t="shared" si="1"/>
        <v>Hot</v>
      </c>
      <c r="H39" s="3">
        <f t="shared" si="2"/>
        <v>24.62</v>
      </c>
      <c r="I39" s="3" t="str">
        <f t="shared" si="3"/>
        <v>Green</v>
      </c>
      <c r="J39" s="3">
        <f t="shared" si="4"/>
        <v>0.48</v>
      </c>
      <c r="K39" s="3">
        <f t="shared" si="5"/>
        <v>19.7</v>
      </c>
      <c r="L39" s="3">
        <f t="shared" si="6"/>
        <v>0.39</v>
      </c>
      <c r="M39" s="3">
        <f t="shared" si="7"/>
        <v>8.9999999999999969E-2</v>
      </c>
      <c r="N39" s="3">
        <f t="shared" si="8"/>
        <v>27.08</v>
      </c>
      <c r="O39" s="3">
        <f t="shared" si="9"/>
        <v>0.53</v>
      </c>
      <c r="P39" s="3">
        <f t="shared" si="10"/>
        <v>4.29</v>
      </c>
      <c r="Q39" s="3">
        <f t="shared" si="11"/>
        <v>3.88</v>
      </c>
      <c r="R39" s="3">
        <f t="shared" si="12"/>
        <v>4.4800000000000004</v>
      </c>
    </row>
    <row r="40" spans="1:18" x14ac:dyDescent="0.3">
      <c r="A40" s="1">
        <v>48</v>
      </c>
      <c r="B40" s="1">
        <v>47</v>
      </c>
      <c r="C40" s="1">
        <v>64</v>
      </c>
      <c r="D40" s="2">
        <f t="shared" si="0"/>
        <v>49.237000000000002</v>
      </c>
      <c r="E40" s="3">
        <v>11</v>
      </c>
      <c r="F40" s="3">
        <v>37</v>
      </c>
      <c r="G40" s="3" t="str">
        <f t="shared" si="1"/>
        <v>Hot</v>
      </c>
      <c r="H40" s="3">
        <f t="shared" si="2"/>
        <v>34.43</v>
      </c>
      <c r="I40" s="3" t="str">
        <f t="shared" si="3"/>
        <v>Red</v>
      </c>
      <c r="J40" s="3">
        <f t="shared" si="4"/>
        <v>0.68</v>
      </c>
      <c r="K40" s="3">
        <f t="shared" si="5"/>
        <v>27.54</v>
      </c>
      <c r="L40" s="3">
        <f t="shared" si="6"/>
        <v>0.54</v>
      </c>
      <c r="M40" s="3">
        <f t="shared" si="7"/>
        <v>0.14000000000000001</v>
      </c>
      <c r="N40" s="3">
        <f t="shared" si="8"/>
        <v>37.869999999999997</v>
      </c>
      <c r="O40" s="3">
        <f t="shared" si="9"/>
        <v>0.74</v>
      </c>
      <c r="P40" s="3">
        <f t="shared" si="10"/>
        <v>5</v>
      </c>
      <c r="Q40" s="3">
        <f t="shared" si="11"/>
        <v>4.51</v>
      </c>
      <c r="R40" s="3">
        <f t="shared" si="12"/>
        <v>5.22</v>
      </c>
    </row>
    <row r="41" spans="1:18" x14ac:dyDescent="0.3">
      <c r="A41" s="1">
        <v>0</v>
      </c>
      <c r="B41" s="1">
        <v>11</v>
      </c>
      <c r="C41" s="1">
        <v>204</v>
      </c>
      <c r="D41" s="2">
        <f t="shared" si="0"/>
        <v>29.713000000000001</v>
      </c>
      <c r="E41" s="3">
        <v>10</v>
      </c>
      <c r="F41" s="3">
        <v>21</v>
      </c>
      <c r="G41" s="3" t="str">
        <f t="shared" si="1"/>
        <v>Mild</v>
      </c>
      <c r="H41" s="3">
        <f t="shared" si="2"/>
        <v>25.82</v>
      </c>
      <c r="I41" s="3" t="str">
        <f t="shared" si="3"/>
        <v>Blue</v>
      </c>
      <c r="J41" s="3">
        <f t="shared" si="4"/>
        <v>0.51</v>
      </c>
      <c r="K41" s="3">
        <f t="shared" si="5"/>
        <v>20.66</v>
      </c>
      <c r="L41" s="3">
        <f t="shared" si="6"/>
        <v>0.41</v>
      </c>
      <c r="M41" s="3">
        <f t="shared" si="7"/>
        <v>0.10000000000000003</v>
      </c>
      <c r="N41" s="3">
        <f t="shared" si="8"/>
        <v>28.4</v>
      </c>
      <c r="O41" s="3">
        <f t="shared" si="9"/>
        <v>0.56000000000000005</v>
      </c>
      <c r="P41" s="3">
        <f t="shared" si="10"/>
        <v>4.38</v>
      </c>
      <c r="Q41" s="3">
        <f t="shared" si="11"/>
        <v>3.96</v>
      </c>
      <c r="R41" s="3">
        <f t="shared" si="12"/>
        <v>4.58</v>
      </c>
    </row>
    <row r="42" spans="1:18" x14ac:dyDescent="0.3">
      <c r="A42" s="1">
        <v>208</v>
      </c>
      <c r="B42" s="1">
        <v>161</v>
      </c>
      <c r="C42" s="1">
        <v>63</v>
      </c>
      <c r="D42" s="2">
        <f t="shared" si="0"/>
        <v>163.88099999999997</v>
      </c>
      <c r="E42" s="3">
        <v>0</v>
      </c>
      <c r="F42" s="3">
        <v>25</v>
      </c>
      <c r="G42" s="3" t="str">
        <f t="shared" si="1"/>
        <v>Mild</v>
      </c>
      <c r="H42" s="3">
        <f t="shared" si="2"/>
        <v>122.91</v>
      </c>
      <c r="I42" s="3" t="str">
        <f t="shared" si="3"/>
        <v>Blue</v>
      </c>
      <c r="J42" s="3">
        <f t="shared" si="4"/>
        <v>2.41</v>
      </c>
      <c r="K42" s="3">
        <f t="shared" si="5"/>
        <v>98.33</v>
      </c>
      <c r="L42" s="3">
        <f t="shared" si="6"/>
        <v>1.93</v>
      </c>
      <c r="M42" s="3">
        <f t="shared" si="7"/>
        <v>0.4800000000000002</v>
      </c>
      <c r="N42" s="3">
        <f t="shared" si="8"/>
        <v>135.19999999999999</v>
      </c>
      <c r="O42" s="3">
        <f t="shared" si="9"/>
        <v>2.65</v>
      </c>
      <c r="P42" s="3">
        <f t="shared" si="10"/>
        <v>8.91</v>
      </c>
      <c r="Q42" s="3">
        <f t="shared" si="11"/>
        <v>8.0500000000000007</v>
      </c>
      <c r="R42" s="3">
        <f t="shared" si="12"/>
        <v>9.3000000000000007</v>
      </c>
    </row>
    <row r="43" spans="1:18" x14ac:dyDescent="0.3">
      <c r="A43" s="1">
        <v>179</v>
      </c>
      <c r="B43" s="1">
        <v>222</v>
      </c>
      <c r="C43" s="1">
        <v>226</v>
      </c>
      <c r="D43" s="2">
        <f t="shared" si="0"/>
        <v>209.59899999999999</v>
      </c>
      <c r="E43" s="3">
        <v>21</v>
      </c>
      <c r="F43" s="3">
        <v>40</v>
      </c>
      <c r="G43" s="3" t="str">
        <f t="shared" si="1"/>
        <v>Hot</v>
      </c>
      <c r="H43" s="3">
        <f t="shared" si="2"/>
        <v>152.16999999999999</v>
      </c>
      <c r="I43" s="3" t="str">
        <f t="shared" si="3"/>
        <v>Red</v>
      </c>
      <c r="J43" s="3">
        <f t="shared" si="4"/>
        <v>2.98</v>
      </c>
      <c r="K43" s="3">
        <f t="shared" si="5"/>
        <v>121.74</v>
      </c>
      <c r="L43" s="3">
        <f t="shared" si="6"/>
        <v>2.39</v>
      </c>
      <c r="M43" s="3">
        <f t="shared" si="7"/>
        <v>0.58999999999999986</v>
      </c>
      <c r="N43" s="3">
        <f t="shared" si="8"/>
        <v>167.39</v>
      </c>
      <c r="O43" s="3">
        <f t="shared" si="9"/>
        <v>3.28</v>
      </c>
      <c r="P43" s="3">
        <f t="shared" si="10"/>
        <v>9.82</v>
      </c>
      <c r="Q43" s="3">
        <f t="shared" si="11"/>
        <v>8.8699999999999992</v>
      </c>
      <c r="R43" s="3">
        <f t="shared" si="12"/>
        <v>10.25</v>
      </c>
    </row>
    <row r="44" spans="1:18" x14ac:dyDescent="0.3">
      <c r="A44" s="1">
        <v>219</v>
      </c>
      <c r="B44" s="1">
        <v>200</v>
      </c>
      <c r="C44" s="1">
        <v>146</v>
      </c>
      <c r="D44" s="2">
        <f t="shared" si="0"/>
        <v>199.52499999999998</v>
      </c>
      <c r="E44" s="3">
        <v>2</v>
      </c>
      <c r="F44" s="3">
        <v>38</v>
      </c>
      <c r="G44" s="3" t="str">
        <f t="shared" si="1"/>
        <v>Hot</v>
      </c>
      <c r="H44" s="3">
        <f t="shared" si="2"/>
        <v>126.18</v>
      </c>
      <c r="I44" s="3" t="str">
        <f t="shared" si="3"/>
        <v>Blue</v>
      </c>
      <c r="J44" s="3">
        <f t="shared" si="4"/>
        <v>2.4700000000000002</v>
      </c>
      <c r="K44" s="3">
        <f t="shared" si="5"/>
        <v>100.94</v>
      </c>
      <c r="L44" s="3">
        <f t="shared" si="6"/>
        <v>1.98</v>
      </c>
      <c r="M44" s="3">
        <f t="shared" si="7"/>
        <v>0.49000000000000021</v>
      </c>
      <c r="N44" s="3">
        <f t="shared" si="8"/>
        <v>138.80000000000001</v>
      </c>
      <c r="O44" s="3">
        <f t="shared" si="9"/>
        <v>2.72</v>
      </c>
      <c r="P44" s="3">
        <f t="shared" si="10"/>
        <v>9.02</v>
      </c>
      <c r="Q44" s="3">
        <f t="shared" si="11"/>
        <v>8.15</v>
      </c>
      <c r="R44" s="3">
        <f t="shared" si="12"/>
        <v>9.41</v>
      </c>
    </row>
    <row r="45" spans="1:18" x14ac:dyDescent="0.3">
      <c r="A45" s="1">
        <v>201</v>
      </c>
      <c r="B45" s="1">
        <v>150</v>
      </c>
      <c r="C45" s="1">
        <v>47</v>
      </c>
      <c r="D45" s="2">
        <f t="shared" si="0"/>
        <v>153.50700000000001</v>
      </c>
      <c r="E45" s="3">
        <v>33</v>
      </c>
      <c r="F45" s="3">
        <v>25</v>
      </c>
      <c r="G45" s="3" t="str">
        <f t="shared" si="1"/>
        <v>Mild</v>
      </c>
      <c r="H45" s="3">
        <f t="shared" si="2"/>
        <v>153.12</v>
      </c>
      <c r="I45" s="3" t="str">
        <f t="shared" si="3"/>
        <v>Red</v>
      </c>
      <c r="J45" s="3">
        <f t="shared" si="4"/>
        <v>3</v>
      </c>
      <c r="K45" s="3">
        <f t="shared" si="5"/>
        <v>122.5</v>
      </c>
      <c r="L45" s="3">
        <f t="shared" si="6"/>
        <v>2.4</v>
      </c>
      <c r="M45" s="3">
        <f t="shared" si="7"/>
        <v>0.60000000000000009</v>
      </c>
      <c r="N45" s="3">
        <f t="shared" si="8"/>
        <v>168.43</v>
      </c>
      <c r="O45" s="3">
        <f t="shared" si="9"/>
        <v>3.3</v>
      </c>
      <c r="P45" s="3">
        <f t="shared" si="10"/>
        <v>9.84</v>
      </c>
      <c r="Q45" s="3">
        <f t="shared" si="11"/>
        <v>8.9</v>
      </c>
      <c r="R45" s="3">
        <f t="shared" si="12"/>
        <v>10.28</v>
      </c>
    </row>
    <row r="46" spans="1:18" x14ac:dyDescent="0.3">
      <c r="A46" s="1">
        <v>239</v>
      </c>
      <c r="B46" s="1">
        <v>14</v>
      </c>
      <c r="C46" s="1">
        <v>249</v>
      </c>
      <c r="D46" s="2">
        <f t="shared" si="0"/>
        <v>108.065</v>
      </c>
      <c r="E46" s="3">
        <v>76</v>
      </c>
      <c r="F46" s="3">
        <v>38</v>
      </c>
      <c r="G46" s="3" t="str">
        <f t="shared" si="1"/>
        <v>Hot</v>
      </c>
      <c r="H46" s="3">
        <f t="shared" si="2"/>
        <v>117.92</v>
      </c>
      <c r="I46" s="3" t="str">
        <f t="shared" si="3"/>
        <v>Red</v>
      </c>
      <c r="J46" s="3">
        <f t="shared" si="4"/>
        <v>2.31</v>
      </c>
      <c r="K46" s="3">
        <f t="shared" si="5"/>
        <v>94.34</v>
      </c>
      <c r="L46" s="3">
        <f t="shared" si="6"/>
        <v>1.85</v>
      </c>
      <c r="M46" s="3">
        <f t="shared" si="7"/>
        <v>0.45999999999999996</v>
      </c>
      <c r="N46" s="3">
        <f t="shared" si="8"/>
        <v>129.71</v>
      </c>
      <c r="O46" s="3">
        <f t="shared" si="9"/>
        <v>2.54</v>
      </c>
      <c r="P46" s="3">
        <f t="shared" si="10"/>
        <v>8.74</v>
      </c>
      <c r="Q46" s="3">
        <f t="shared" si="11"/>
        <v>7.9</v>
      </c>
      <c r="R46" s="3">
        <f t="shared" si="12"/>
        <v>9.1300000000000008</v>
      </c>
    </row>
    <row r="47" spans="1:18" x14ac:dyDescent="0.3">
      <c r="A47" s="1">
        <v>13</v>
      </c>
      <c r="B47" s="1">
        <v>108</v>
      </c>
      <c r="C47" s="1">
        <v>182</v>
      </c>
      <c r="D47" s="2">
        <f t="shared" si="0"/>
        <v>88.030999999999992</v>
      </c>
      <c r="E47" s="3">
        <v>54</v>
      </c>
      <c r="F47" s="3">
        <v>39</v>
      </c>
      <c r="G47" s="3" t="str">
        <f t="shared" si="1"/>
        <v>Hot</v>
      </c>
      <c r="H47" s="3">
        <f t="shared" si="2"/>
        <v>82.7</v>
      </c>
      <c r="I47" s="3" t="str">
        <f t="shared" si="3"/>
        <v>Blue</v>
      </c>
      <c r="J47" s="3">
        <f t="shared" si="4"/>
        <v>1.62</v>
      </c>
      <c r="K47" s="3">
        <f t="shared" si="5"/>
        <v>66.16</v>
      </c>
      <c r="L47" s="3">
        <f t="shared" si="6"/>
        <v>1.3</v>
      </c>
      <c r="M47" s="3">
        <f t="shared" si="7"/>
        <v>0.32000000000000006</v>
      </c>
      <c r="N47" s="3">
        <f t="shared" si="8"/>
        <v>90.97</v>
      </c>
      <c r="O47" s="3">
        <f t="shared" si="9"/>
        <v>1.78</v>
      </c>
      <c r="P47" s="3">
        <f t="shared" si="10"/>
        <v>7.44</v>
      </c>
      <c r="Q47" s="3">
        <f t="shared" si="11"/>
        <v>6.72</v>
      </c>
      <c r="R47" s="3">
        <f t="shared" si="12"/>
        <v>7.77</v>
      </c>
    </row>
    <row r="48" spans="1:18" x14ac:dyDescent="0.3">
      <c r="A48" s="1">
        <v>234</v>
      </c>
      <c r="B48" s="1">
        <v>223</v>
      </c>
      <c r="C48" s="1">
        <v>19</v>
      </c>
      <c r="D48" s="2">
        <f t="shared" si="0"/>
        <v>203.03299999999996</v>
      </c>
      <c r="E48" s="3">
        <v>96</v>
      </c>
      <c r="F48" s="3">
        <v>23</v>
      </c>
      <c r="G48" s="3" t="str">
        <f t="shared" si="1"/>
        <v>Mild</v>
      </c>
      <c r="H48" s="3">
        <f t="shared" si="2"/>
        <v>255</v>
      </c>
      <c r="I48" s="3" t="str">
        <f t="shared" si="3"/>
        <v>Blue</v>
      </c>
      <c r="J48" s="3">
        <f t="shared" si="4"/>
        <v>5</v>
      </c>
      <c r="K48" s="3">
        <f t="shared" si="5"/>
        <v>204</v>
      </c>
      <c r="L48" s="3">
        <f t="shared" si="6"/>
        <v>4</v>
      </c>
      <c r="M48" s="3">
        <f t="shared" si="7"/>
        <v>1</v>
      </c>
      <c r="N48" s="3">
        <f t="shared" si="8"/>
        <v>280.5</v>
      </c>
      <c r="O48" s="3">
        <f t="shared" si="9"/>
        <v>5.5</v>
      </c>
      <c r="P48" s="3">
        <f t="shared" si="10"/>
        <v>12.41</v>
      </c>
      <c r="Q48" s="3">
        <f t="shared" si="11"/>
        <v>11.22</v>
      </c>
      <c r="R48" s="3">
        <f t="shared" si="12"/>
        <v>12.96</v>
      </c>
    </row>
    <row r="49" spans="1:18" x14ac:dyDescent="0.3">
      <c r="A49" s="1">
        <v>114</v>
      </c>
      <c r="B49" s="1">
        <v>106</v>
      </c>
      <c r="C49" s="1">
        <v>220</v>
      </c>
      <c r="D49" s="2">
        <f t="shared" si="0"/>
        <v>121.38799999999999</v>
      </c>
      <c r="E49" s="3">
        <v>52</v>
      </c>
      <c r="F49" s="3">
        <v>38</v>
      </c>
      <c r="G49" s="3" t="str">
        <f t="shared" si="1"/>
        <v>Hot</v>
      </c>
      <c r="H49" s="3">
        <f t="shared" si="2"/>
        <v>114.4</v>
      </c>
      <c r="I49" s="3" t="str">
        <f t="shared" si="3"/>
        <v>Red</v>
      </c>
      <c r="J49" s="3">
        <f t="shared" si="4"/>
        <v>2.2400000000000002</v>
      </c>
      <c r="K49" s="3">
        <f t="shared" si="5"/>
        <v>91.52</v>
      </c>
      <c r="L49" s="3">
        <f t="shared" si="6"/>
        <v>1.79</v>
      </c>
      <c r="M49" s="3">
        <f t="shared" si="7"/>
        <v>0.45000000000000018</v>
      </c>
      <c r="N49" s="3">
        <f t="shared" si="8"/>
        <v>125.84</v>
      </c>
      <c r="O49" s="3">
        <f t="shared" si="9"/>
        <v>2.4700000000000002</v>
      </c>
      <c r="P49" s="3">
        <f t="shared" si="10"/>
        <v>8.6199999999999992</v>
      </c>
      <c r="Q49" s="3">
        <f t="shared" si="11"/>
        <v>7.79</v>
      </c>
      <c r="R49" s="3">
        <f t="shared" si="12"/>
        <v>9</v>
      </c>
    </row>
    <row r="50" spans="1:18" x14ac:dyDescent="0.3">
      <c r="A50" s="1">
        <v>240</v>
      </c>
      <c r="B50" s="1">
        <v>206</v>
      </c>
      <c r="C50" s="1">
        <v>52</v>
      </c>
      <c r="D50" s="2">
        <f t="shared" si="0"/>
        <v>198.60999999999999</v>
      </c>
      <c r="E50" s="3">
        <v>78</v>
      </c>
      <c r="F50" s="3">
        <v>40</v>
      </c>
      <c r="G50" s="3" t="str">
        <f t="shared" si="1"/>
        <v>Hot</v>
      </c>
      <c r="H50" s="3">
        <f t="shared" si="2"/>
        <v>212.12</v>
      </c>
      <c r="I50" s="3" t="str">
        <f t="shared" si="3"/>
        <v>Blue</v>
      </c>
      <c r="J50" s="3">
        <f t="shared" si="4"/>
        <v>4.16</v>
      </c>
      <c r="K50" s="3">
        <f t="shared" si="5"/>
        <v>169.7</v>
      </c>
      <c r="L50" s="3">
        <f t="shared" si="6"/>
        <v>3.33</v>
      </c>
      <c r="M50" s="3">
        <f t="shared" si="7"/>
        <v>0.83000000000000007</v>
      </c>
      <c r="N50" s="3">
        <f t="shared" si="8"/>
        <v>233.33</v>
      </c>
      <c r="O50" s="3">
        <f t="shared" si="9"/>
        <v>4.58</v>
      </c>
      <c r="P50" s="3">
        <f t="shared" si="10"/>
        <v>11.42</v>
      </c>
      <c r="Q50" s="3">
        <f t="shared" si="11"/>
        <v>10.32</v>
      </c>
      <c r="R50" s="3">
        <f t="shared" si="12"/>
        <v>11.92</v>
      </c>
    </row>
    <row r="51" spans="1:18" x14ac:dyDescent="0.3">
      <c r="A51" s="1">
        <v>167</v>
      </c>
      <c r="B51" s="1">
        <v>94</v>
      </c>
      <c r="C51" s="1">
        <v>24</v>
      </c>
      <c r="D51" s="2">
        <f t="shared" si="0"/>
        <v>107.84699999999999</v>
      </c>
      <c r="E51" s="3">
        <v>21</v>
      </c>
      <c r="F51" s="3">
        <v>32</v>
      </c>
      <c r="G51" s="3" t="str">
        <f t="shared" si="1"/>
        <v>Hot</v>
      </c>
      <c r="H51" s="3">
        <f t="shared" si="2"/>
        <v>88.74</v>
      </c>
      <c r="I51" s="3" t="str">
        <f t="shared" si="3"/>
        <v>Red</v>
      </c>
      <c r="J51" s="3">
        <f t="shared" si="4"/>
        <v>1.74</v>
      </c>
      <c r="K51" s="3">
        <f t="shared" si="5"/>
        <v>70.989999999999995</v>
      </c>
      <c r="L51" s="3">
        <f t="shared" si="6"/>
        <v>1.39</v>
      </c>
      <c r="M51" s="3">
        <f t="shared" si="7"/>
        <v>0.35000000000000009</v>
      </c>
      <c r="N51" s="3">
        <f t="shared" si="8"/>
        <v>97.61</v>
      </c>
      <c r="O51" s="3">
        <f t="shared" si="9"/>
        <v>1.91</v>
      </c>
      <c r="P51" s="3">
        <f t="shared" si="10"/>
        <v>7.68</v>
      </c>
      <c r="Q51" s="3">
        <f t="shared" si="11"/>
        <v>6.94</v>
      </c>
      <c r="R51" s="3">
        <f t="shared" si="12"/>
        <v>8.02</v>
      </c>
    </row>
    <row r="52" spans="1:18" x14ac:dyDescent="0.3">
      <c r="A52" s="1">
        <v>225</v>
      </c>
      <c r="B52" s="1">
        <v>15</v>
      </c>
      <c r="C52" s="1">
        <v>204</v>
      </c>
      <c r="D52" s="2">
        <f t="shared" si="0"/>
        <v>99.335999999999984</v>
      </c>
      <c r="E52" s="3">
        <v>95</v>
      </c>
      <c r="F52" s="3">
        <v>26</v>
      </c>
      <c r="G52" s="3" t="str">
        <f t="shared" si="1"/>
        <v>Hot</v>
      </c>
      <c r="H52" s="3">
        <f t="shared" si="2"/>
        <v>143.34</v>
      </c>
      <c r="I52" s="3" t="str">
        <f t="shared" si="3"/>
        <v>Red</v>
      </c>
      <c r="J52" s="3">
        <f t="shared" si="4"/>
        <v>2.81</v>
      </c>
      <c r="K52" s="3">
        <f t="shared" si="5"/>
        <v>114.67</v>
      </c>
      <c r="L52" s="3">
        <f t="shared" si="6"/>
        <v>2.25</v>
      </c>
      <c r="M52" s="3">
        <f t="shared" si="7"/>
        <v>0.56000000000000005</v>
      </c>
      <c r="N52" s="3">
        <f t="shared" si="8"/>
        <v>157.66999999999999</v>
      </c>
      <c r="O52" s="3">
        <f t="shared" si="9"/>
        <v>3.09</v>
      </c>
      <c r="P52" s="3">
        <f t="shared" si="10"/>
        <v>9.5500000000000007</v>
      </c>
      <c r="Q52" s="3">
        <f t="shared" si="11"/>
        <v>8.6300000000000008</v>
      </c>
      <c r="R52" s="3">
        <f t="shared" si="12"/>
        <v>9.98</v>
      </c>
    </row>
    <row r="53" spans="1:18" x14ac:dyDescent="0.3">
      <c r="A53" s="1">
        <v>74</v>
      </c>
      <c r="B53" s="1">
        <v>240</v>
      </c>
      <c r="C53" s="1">
        <v>162</v>
      </c>
      <c r="D53" s="2">
        <f t="shared" si="0"/>
        <v>181.47399999999999</v>
      </c>
      <c r="E53" s="3">
        <v>33</v>
      </c>
      <c r="F53" s="3">
        <v>20</v>
      </c>
      <c r="G53" s="3" t="str">
        <f t="shared" si="1"/>
        <v>Mild</v>
      </c>
      <c r="H53" s="3">
        <f t="shared" si="2"/>
        <v>193.09</v>
      </c>
      <c r="I53" s="3" t="str">
        <f t="shared" si="3"/>
        <v>Red</v>
      </c>
      <c r="J53" s="3">
        <f t="shared" si="4"/>
        <v>3.79</v>
      </c>
      <c r="K53" s="3">
        <f t="shared" si="5"/>
        <v>154.47</v>
      </c>
      <c r="L53" s="3">
        <f t="shared" si="6"/>
        <v>3.03</v>
      </c>
      <c r="M53" s="3">
        <f t="shared" si="7"/>
        <v>0.76000000000000023</v>
      </c>
      <c r="N53" s="3">
        <f t="shared" si="8"/>
        <v>212.4</v>
      </c>
      <c r="O53" s="3">
        <f t="shared" si="9"/>
        <v>4.16</v>
      </c>
      <c r="P53" s="3">
        <f t="shared" si="10"/>
        <v>10.94</v>
      </c>
      <c r="Q53" s="3">
        <f t="shared" si="11"/>
        <v>9.8800000000000008</v>
      </c>
      <c r="R53" s="3">
        <f t="shared" si="12"/>
        <v>11.42</v>
      </c>
    </row>
    <row r="54" spans="1:18" x14ac:dyDescent="0.3">
      <c r="A54" s="1">
        <v>32</v>
      </c>
      <c r="B54" s="1">
        <v>250</v>
      </c>
      <c r="C54" s="1">
        <v>251</v>
      </c>
      <c r="D54" s="2">
        <f t="shared" si="0"/>
        <v>184.93200000000002</v>
      </c>
      <c r="E54" s="3">
        <v>59</v>
      </c>
      <c r="F54" s="3">
        <v>30</v>
      </c>
      <c r="G54" s="3" t="str">
        <f t="shared" si="1"/>
        <v>Hot</v>
      </c>
      <c r="H54" s="3">
        <f t="shared" si="2"/>
        <v>205.83</v>
      </c>
      <c r="I54" s="3" t="str">
        <f t="shared" si="3"/>
        <v>Green</v>
      </c>
      <c r="J54" s="3">
        <f t="shared" si="4"/>
        <v>4.04</v>
      </c>
      <c r="K54" s="3">
        <f t="shared" si="5"/>
        <v>164.66</v>
      </c>
      <c r="L54" s="3">
        <f t="shared" si="6"/>
        <v>3.23</v>
      </c>
      <c r="M54" s="3">
        <f t="shared" si="7"/>
        <v>0.81</v>
      </c>
      <c r="N54" s="3">
        <f t="shared" si="8"/>
        <v>226.41</v>
      </c>
      <c r="O54" s="3">
        <f t="shared" si="9"/>
        <v>4.4400000000000004</v>
      </c>
      <c r="P54" s="3">
        <f t="shared" si="10"/>
        <v>11.26</v>
      </c>
      <c r="Q54" s="3">
        <f t="shared" si="11"/>
        <v>10.18</v>
      </c>
      <c r="R54" s="3">
        <f t="shared" si="12"/>
        <v>11.76</v>
      </c>
    </row>
    <row r="55" spans="1:18" x14ac:dyDescent="0.3">
      <c r="A55" s="1">
        <v>158</v>
      </c>
      <c r="B55" s="1">
        <v>161</v>
      </c>
      <c r="C55" s="1">
        <v>95</v>
      </c>
      <c r="D55" s="2">
        <f t="shared" si="0"/>
        <v>152.57900000000001</v>
      </c>
      <c r="E55" s="3">
        <v>90</v>
      </c>
      <c r="F55" s="3">
        <v>20</v>
      </c>
      <c r="G55" s="3" t="str">
        <f t="shared" si="1"/>
        <v>Mild</v>
      </c>
      <c r="H55" s="3">
        <f t="shared" si="2"/>
        <v>231.92</v>
      </c>
      <c r="I55" s="3" t="str">
        <f t="shared" si="3"/>
        <v>Blue</v>
      </c>
      <c r="J55" s="3">
        <f t="shared" si="4"/>
        <v>4.55</v>
      </c>
      <c r="K55" s="3">
        <f t="shared" si="5"/>
        <v>185.54</v>
      </c>
      <c r="L55" s="3">
        <f t="shared" si="6"/>
        <v>3.64</v>
      </c>
      <c r="M55" s="3">
        <f t="shared" si="7"/>
        <v>0.9099999999999997</v>
      </c>
      <c r="N55" s="3">
        <f t="shared" si="8"/>
        <v>255.11</v>
      </c>
      <c r="O55" s="3">
        <f t="shared" si="9"/>
        <v>5</v>
      </c>
      <c r="P55" s="3">
        <f t="shared" si="10"/>
        <v>11.89</v>
      </c>
      <c r="Q55" s="3">
        <f t="shared" si="11"/>
        <v>10.74</v>
      </c>
      <c r="R55" s="3">
        <f t="shared" si="12"/>
        <v>12.42</v>
      </c>
    </row>
    <row r="56" spans="1:18" x14ac:dyDescent="0.3">
      <c r="A56" s="1">
        <v>166</v>
      </c>
      <c r="B56" s="1">
        <v>46</v>
      </c>
      <c r="C56" s="1">
        <v>94</v>
      </c>
      <c r="D56" s="2">
        <f t="shared" si="0"/>
        <v>87.352000000000004</v>
      </c>
      <c r="E56" s="3">
        <v>1</v>
      </c>
      <c r="F56" s="3">
        <v>31</v>
      </c>
      <c r="G56" s="3" t="str">
        <f t="shared" si="1"/>
        <v>Hot</v>
      </c>
      <c r="H56" s="3">
        <f t="shared" si="2"/>
        <v>60.88</v>
      </c>
      <c r="I56" s="3" t="str">
        <f t="shared" si="3"/>
        <v>Green</v>
      </c>
      <c r="J56" s="3">
        <f t="shared" si="4"/>
        <v>1.19</v>
      </c>
      <c r="K56" s="3">
        <f t="shared" si="5"/>
        <v>48.7</v>
      </c>
      <c r="L56" s="3">
        <f t="shared" si="6"/>
        <v>0.95</v>
      </c>
      <c r="M56" s="3">
        <f t="shared" si="7"/>
        <v>0.24</v>
      </c>
      <c r="N56" s="3">
        <f t="shared" si="8"/>
        <v>66.97</v>
      </c>
      <c r="O56" s="3">
        <f t="shared" si="9"/>
        <v>1.31</v>
      </c>
      <c r="P56" s="3">
        <f t="shared" si="10"/>
        <v>6.47</v>
      </c>
      <c r="Q56" s="3">
        <f t="shared" si="11"/>
        <v>5.85</v>
      </c>
      <c r="R56" s="3">
        <f t="shared" si="12"/>
        <v>6.76</v>
      </c>
    </row>
    <row r="57" spans="1:18" x14ac:dyDescent="0.3">
      <c r="A57" s="1">
        <v>134</v>
      </c>
      <c r="B57" s="1">
        <v>160</v>
      </c>
      <c r="C57" s="1">
        <v>86</v>
      </c>
      <c r="D57" s="2">
        <f t="shared" si="0"/>
        <v>143.79</v>
      </c>
      <c r="E57" s="3">
        <v>56</v>
      </c>
      <c r="F57" s="3">
        <v>35</v>
      </c>
      <c r="G57" s="3" t="str">
        <f t="shared" si="1"/>
        <v>Hot</v>
      </c>
      <c r="H57" s="3">
        <f t="shared" si="2"/>
        <v>145.80000000000001</v>
      </c>
      <c r="I57" s="3" t="str">
        <f t="shared" si="3"/>
        <v>Red</v>
      </c>
      <c r="J57" s="3">
        <f t="shared" si="4"/>
        <v>2.86</v>
      </c>
      <c r="K57" s="3">
        <f t="shared" si="5"/>
        <v>116.64</v>
      </c>
      <c r="L57" s="3">
        <f t="shared" si="6"/>
        <v>2.29</v>
      </c>
      <c r="M57" s="3">
        <f t="shared" si="7"/>
        <v>0.56999999999999984</v>
      </c>
      <c r="N57" s="3">
        <f t="shared" si="8"/>
        <v>160.38</v>
      </c>
      <c r="O57" s="3">
        <f t="shared" si="9"/>
        <v>3.14</v>
      </c>
      <c r="P57" s="3">
        <f t="shared" si="10"/>
        <v>9.6300000000000008</v>
      </c>
      <c r="Q57" s="3">
        <f t="shared" si="11"/>
        <v>8.6999999999999993</v>
      </c>
      <c r="R57" s="3">
        <f t="shared" si="12"/>
        <v>10.050000000000001</v>
      </c>
    </row>
    <row r="58" spans="1:18" x14ac:dyDescent="0.3">
      <c r="A58" s="1">
        <v>80</v>
      </c>
      <c r="B58" s="1">
        <v>124</v>
      </c>
      <c r="C58" s="1">
        <v>100</v>
      </c>
      <c r="D58" s="2">
        <f t="shared" si="0"/>
        <v>108.108</v>
      </c>
      <c r="E58" s="3">
        <v>84</v>
      </c>
      <c r="F58" s="3">
        <v>23</v>
      </c>
      <c r="G58" s="3" t="str">
        <f t="shared" si="1"/>
        <v>Mild</v>
      </c>
      <c r="H58" s="3">
        <f t="shared" si="2"/>
        <v>153.16999999999999</v>
      </c>
      <c r="I58" s="3" t="str">
        <f t="shared" si="3"/>
        <v>Green</v>
      </c>
      <c r="J58" s="3">
        <f t="shared" si="4"/>
        <v>3</v>
      </c>
      <c r="K58" s="3">
        <f t="shared" si="5"/>
        <v>122.54</v>
      </c>
      <c r="L58" s="3">
        <f t="shared" si="6"/>
        <v>2.4</v>
      </c>
      <c r="M58" s="3">
        <f t="shared" si="7"/>
        <v>0.60000000000000009</v>
      </c>
      <c r="N58" s="3">
        <f t="shared" si="8"/>
        <v>168.49</v>
      </c>
      <c r="O58" s="3">
        <f t="shared" si="9"/>
        <v>3.3</v>
      </c>
      <c r="P58" s="3">
        <f t="shared" si="10"/>
        <v>9.85</v>
      </c>
      <c r="Q58" s="3">
        <f t="shared" si="11"/>
        <v>8.9</v>
      </c>
      <c r="R58" s="3">
        <f t="shared" si="12"/>
        <v>10.28</v>
      </c>
    </row>
    <row r="59" spans="1:18" x14ac:dyDescent="0.3">
      <c r="A59" s="1">
        <v>39</v>
      </c>
      <c r="B59" s="1">
        <v>168</v>
      </c>
      <c r="C59" s="1">
        <v>252</v>
      </c>
      <c r="D59" s="2">
        <f t="shared" si="0"/>
        <v>139.005</v>
      </c>
      <c r="E59" s="3">
        <v>38</v>
      </c>
      <c r="F59" s="3">
        <v>24</v>
      </c>
      <c r="G59" s="3" t="str">
        <f t="shared" si="1"/>
        <v>Mild</v>
      </c>
      <c r="H59" s="3">
        <f t="shared" si="2"/>
        <v>145.79</v>
      </c>
      <c r="I59" s="3" t="str">
        <f t="shared" si="3"/>
        <v>Green</v>
      </c>
      <c r="J59" s="3">
        <f t="shared" si="4"/>
        <v>2.86</v>
      </c>
      <c r="K59" s="3">
        <f t="shared" si="5"/>
        <v>116.63</v>
      </c>
      <c r="L59" s="3">
        <f t="shared" si="6"/>
        <v>2.29</v>
      </c>
      <c r="M59" s="3">
        <f t="shared" si="7"/>
        <v>0.56999999999999984</v>
      </c>
      <c r="N59" s="3">
        <f t="shared" si="8"/>
        <v>160.37</v>
      </c>
      <c r="O59" s="3">
        <f t="shared" si="9"/>
        <v>3.14</v>
      </c>
      <c r="P59" s="3">
        <f t="shared" si="10"/>
        <v>9.6300000000000008</v>
      </c>
      <c r="Q59" s="3">
        <f t="shared" si="11"/>
        <v>8.6999999999999993</v>
      </c>
      <c r="R59" s="3">
        <f t="shared" si="12"/>
        <v>10.050000000000001</v>
      </c>
    </row>
    <row r="60" spans="1:18" x14ac:dyDescent="0.3">
      <c r="A60" s="1">
        <v>44</v>
      </c>
      <c r="B60" s="1">
        <v>252</v>
      </c>
      <c r="C60" s="1">
        <v>126</v>
      </c>
      <c r="D60" s="2">
        <f t="shared" si="0"/>
        <v>175.44399999999999</v>
      </c>
      <c r="E60" s="3">
        <v>32</v>
      </c>
      <c r="F60" s="3">
        <v>27</v>
      </c>
      <c r="G60" s="3" t="str">
        <f t="shared" si="1"/>
        <v>Hot</v>
      </c>
      <c r="H60" s="3">
        <f t="shared" si="2"/>
        <v>169.06</v>
      </c>
      <c r="I60" s="3" t="str">
        <f t="shared" si="3"/>
        <v>Blue</v>
      </c>
      <c r="J60" s="3">
        <f t="shared" si="4"/>
        <v>3.31</v>
      </c>
      <c r="K60" s="3">
        <f t="shared" si="5"/>
        <v>135.25</v>
      </c>
      <c r="L60" s="3">
        <f t="shared" si="6"/>
        <v>2.65</v>
      </c>
      <c r="M60" s="3">
        <f t="shared" si="7"/>
        <v>0.66000000000000014</v>
      </c>
      <c r="N60" s="3">
        <f t="shared" si="8"/>
        <v>185.97</v>
      </c>
      <c r="O60" s="3">
        <f t="shared" si="9"/>
        <v>3.65</v>
      </c>
      <c r="P60" s="3">
        <f t="shared" si="10"/>
        <v>10.3</v>
      </c>
      <c r="Q60" s="3">
        <f t="shared" si="11"/>
        <v>9.3000000000000007</v>
      </c>
      <c r="R60" s="3">
        <f t="shared" si="12"/>
        <v>10.75</v>
      </c>
    </row>
    <row r="61" spans="1:18" x14ac:dyDescent="0.3">
      <c r="A61" s="1">
        <v>109</v>
      </c>
      <c r="B61" s="1">
        <v>46</v>
      </c>
      <c r="C61" s="1">
        <v>105</v>
      </c>
      <c r="D61" s="2">
        <f t="shared" si="0"/>
        <v>71.563000000000002</v>
      </c>
      <c r="E61" s="3">
        <v>82</v>
      </c>
      <c r="F61" s="3">
        <v>23</v>
      </c>
      <c r="G61" s="3" t="str">
        <f t="shared" si="1"/>
        <v>Mild</v>
      </c>
      <c r="H61" s="3">
        <f t="shared" si="2"/>
        <v>100.29</v>
      </c>
      <c r="I61" s="3" t="str">
        <f t="shared" si="3"/>
        <v>Green</v>
      </c>
      <c r="J61" s="3">
        <f t="shared" si="4"/>
        <v>1.97</v>
      </c>
      <c r="K61" s="3">
        <f t="shared" si="5"/>
        <v>80.23</v>
      </c>
      <c r="L61" s="3">
        <f t="shared" si="6"/>
        <v>1.57</v>
      </c>
      <c r="M61" s="3">
        <f t="shared" si="7"/>
        <v>0.39999999999999991</v>
      </c>
      <c r="N61" s="3">
        <f t="shared" si="8"/>
        <v>110.32</v>
      </c>
      <c r="O61" s="3">
        <f t="shared" si="9"/>
        <v>2.16</v>
      </c>
      <c r="P61" s="3">
        <f t="shared" si="10"/>
        <v>8.1199999999999992</v>
      </c>
      <c r="Q61" s="3">
        <f t="shared" si="11"/>
        <v>7.34</v>
      </c>
      <c r="R61" s="3">
        <f t="shared" si="12"/>
        <v>8.48</v>
      </c>
    </row>
    <row r="62" spans="1:18" x14ac:dyDescent="0.3">
      <c r="A62" s="1">
        <v>119</v>
      </c>
      <c r="B62" s="1">
        <v>227</v>
      </c>
      <c r="C62" s="1">
        <v>62</v>
      </c>
      <c r="D62" s="2">
        <f t="shared" si="0"/>
        <v>175.898</v>
      </c>
      <c r="E62" s="3">
        <v>81</v>
      </c>
      <c r="F62" s="3">
        <v>38</v>
      </c>
      <c r="G62" s="3" t="str">
        <f t="shared" si="1"/>
        <v>Hot</v>
      </c>
      <c r="H62" s="3">
        <f t="shared" si="2"/>
        <v>197.39</v>
      </c>
      <c r="I62" s="3" t="str">
        <f t="shared" si="3"/>
        <v>Red</v>
      </c>
      <c r="J62" s="3">
        <f t="shared" si="4"/>
        <v>3.87</v>
      </c>
      <c r="K62" s="3">
        <f t="shared" si="5"/>
        <v>157.91</v>
      </c>
      <c r="L62" s="3">
        <f t="shared" si="6"/>
        <v>3.1</v>
      </c>
      <c r="M62" s="3">
        <f t="shared" si="7"/>
        <v>0.77</v>
      </c>
      <c r="N62" s="3">
        <f t="shared" si="8"/>
        <v>217.13</v>
      </c>
      <c r="O62" s="3">
        <f t="shared" si="9"/>
        <v>4.26</v>
      </c>
      <c r="P62" s="3">
        <f t="shared" si="10"/>
        <v>11.05</v>
      </c>
      <c r="Q62" s="3">
        <f t="shared" si="11"/>
        <v>9.98</v>
      </c>
      <c r="R62" s="3">
        <f t="shared" si="12"/>
        <v>11.54</v>
      </c>
    </row>
    <row r="63" spans="1:18" x14ac:dyDescent="0.3">
      <c r="A63" s="1">
        <v>95</v>
      </c>
      <c r="B63" s="1">
        <v>125</v>
      </c>
      <c r="C63" s="1">
        <v>212</v>
      </c>
      <c r="D63" s="2">
        <f t="shared" si="0"/>
        <v>125.94800000000001</v>
      </c>
      <c r="E63" s="3">
        <v>9</v>
      </c>
      <c r="F63" s="3">
        <v>33</v>
      </c>
      <c r="G63" s="3" t="str">
        <f t="shared" si="1"/>
        <v>Hot</v>
      </c>
      <c r="H63" s="3">
        <f t="shared" si="2"/>
        <v>91.98</v>
      </c>
      <c r="I63" s="3" t="str">
        <f t="shared" si="3"/>
        <v>Green</v>
      </c>
      <c r="J63" s="3">
        <f t="shared" si="4"/>
        <v>1.8</v>
      </c>
      <c r="K63" s="3">
        <f t="shared" si="5"/>
        <v>73.58</v>
      </c>
      <c r="L63" s="3">
        <f t="shared" si="6"/>
        <v>1.44</v>
      </c>
      <c r="M63" s="3">
        <f t="shared" si="7"/>
        <v>0.3600000000000001</v>
      </c>
      <c r="N63" s="3">
        <f t="shared" si="8"/>
        <v>101.18</v>
      </c>
      <c r="O63" s="3">
        <f t="shared" si="9"/>
        <v>1.98</v>
      </c>
      <c r="P63" s="3">
        <f t="shared" si="10"/>
        <v>7.81</v>
      </c>
      <c r="Q63" s="3">
        <f t="shared" si="11"/>
        <v>7.06</v>
      </c>
      <c r="R63" s="3">
        <f t="shared" si="12"/>
        <v>8.15</v>
      </c>
    </row>
    <row r="64" spans="1:18" x14ac:dyDescent="0.3">
      <c r="A64" s="1">
        <v>110</v>
      </c>
      <c r="B64" s="1">
        <v>255</v>
      </c>
      <c r="C64" s="1">
        <v>226</v>
      </c>
      <c r="D64" s="2">
        <f t="shared" si="0"/>
        <v>208.339</v>
      </c>
      <c r="E64" s="3">
        <v>85</v>
      </c>
      <c r="F64" s="3">
        <v>28</v>
      </c>
      <c r="G64" s="3" t="str">
        <f t="shared" si="1"/>
        <v>Hot</v>
      </c>
      <c r="H64" s="3">
        <f t="shared" si="2"/>
        <v>255</v>
      </c>
      <c r="I64" s="3" t="str">
        <f t="shared" si="3"/>
        <v>Blue</v>
      </c>
      <c r="J64" s="3">
        <f t="shared" si="4"/>
        <v>5</v>
      </c>
      <c r="K64" s="3">
        <f t="shared" si="5"/>
        <v>204</v>
      </c>
      <c r="L64" s="3">
        <f t="shared" si="6"/>
        <v>4</v>
      </c>
      <c r="M64" s="3">
        <f t="shared" si="7"/>
        <v>1</v>
      </c>
      <c r="N64" s="3">
        <f t="shared" si="8"/>
        <v>280.5</v>
      </c>
      <c r="O64" s="3">
        <f t="shared" si="9"/>
        <v>5.5</v>
      </c>
      <c r="P64" s="3">
        <f t="shared" si="10"/>
        <v>12.41</v>
      </c>
      <c r="Q64" s="3">
        <f t="shared" si="11"/>
        <v>11.22</v>
      </c>
      <c r="R64" s="3">
        <f t="shared" si="12"/>
        <v>12.96</v>
      </c>
    </row>
    <row r="65" spans="1:18" x14ac:dyDescent="0.3">
      <c r="A65" s="1">
        <v>100</v>
      </c>
      <c r="B65" s="1">
        <v>70</v>
      </c>
      <c r="C65" s="1">
        <v>5</v>
      </c>
      <c r="D65" s="2">
        <f t="shared" si="0"/>
        <v>71.559999999999988</v>
      </c>
      <c r="E65" s="3">
        <v>27</v>
      </c>
      <c r="F65" s="3">
        <v>24</v>
      </c>
      <c r="G65" s="3" t="str">
        <f t="shared" si="1"/>
        <v>Mild</v>
      </c>
      <c r="H65" s="3">
        <f t="shared" si="2"/>
        <v>69.069999999999993</v>
      </c>
      <c r="I65" s="3" t="str">
        <f t="shared" si="3"/>
        <v>Green</v>
      </c>
      <c r="J65" s="3">
        <f t="shared" si="4"/>
        <v>1.35</v>
      </c>
      <c r="K65" s="3">
        <f t="shared" si="5"/>
        <v>55.26</v>
      </c>
      <c r="L65" s="3">
        <f t="shared" si="6"/>
        <v>1.08</v>
      </c>
      <c r="M65" s="3">
        <f t="shared" si="7"/>
        <v>0.27</v>
      </c>
      <c r="N65" s="3">
        <f t="shared" si="8"/>
        <v>75.98</v>
      </c>
      <c r="O65" s="3">
        <f t="shared" si="9"/>
        <v>1.49</v>
      </c>
      <c r="P65" s="3">
        <f t="shared" si="10"/>
        <v>6.86</v>
      </c>
      <c r="Q65" s="3">
        <f t="shared" si="11"/>
        <v>6.19</v>
      </c>
      <c r="R65" s="3">
        <f t="shared" si="12"/>
        <v>7.16</v>
      </c>
    </row>
    <row r="66" spans="1:18" x14ac:dyDescent="0.3">
      <c r="A66" s="1">
        <v>88</v>
      </c>
      <c r="B66" s="1">
        <v>30</v>
      </c>
      <c r="C66" s="1">
        <v>167</v>
      </c>
      <c r="D66" s="2">
        <f t="shared" si="0"/>
        <v>62.959999999999994</v>
      </c>
      <c r="E66" s="3">
        <v>62</v>
      </c>
      <c r="F66" s="3">
        <v>40</v>
      </c>
      <c r="G66" s="3" t="str">
        <f t="shared" si="1"/>
        <v>Hot</v>
      </c>
      <c r="H66" s="3">
        <f t="shared" si="2"/>
        <v>61.2</v>
      </c>
      <c r="I66" s="3" t="str">
        <f t="shared" si="3"/>
        <v>Red</v>
      </c>
      <c r="J66" s="3">
        <f t="shared" si="4"/>
        <v>1.2</v>
      </c>
      <c r="K66" s="3">
        <f t="shared" si="5"/>
        <v>48.96</v>
      </c>
      <c r="L66" s="3">
        <f t="shared" si="6"/>
        <v>0.96</v>
      </c>
      <c r="M66" s="3">
        <f t="shared" si="7"/>
        <v>0.24</v>
      </c>
      <c r="N66" s="3">
        <f t="shared" si="8"/>
        <v>67.319999999999993</v>
      </c>
      <c r="O66" s="3">
        <f t="shared" si="9"/>
        <v>1.32</v>
      </c>
      <c r="P66" s="3">
        <f t="shared" si="10"/>
        <v>6.49</v>
      </c>
      <c r="Q66" s="3">
        <f t="shared" si="11"/>
        <v>5.86</v>
      </c>
      <c r="R66" s="3">
        <f t="shared" si="12"/>
        <v>6.78</v>
      </c>
    </row>
    <row r="67" spans="1:18" x14ac:dyDescent="0.3">
      <c r="A67" s="1">
        <v>244</v>
      </c>
      <c r="B67" s="1">
        <v>140</v>
      </c>
      <c r="C67" s="1">
        <v>149</v>
      </c>
      <c r="D67" s="2">
        <f t="shared" ref="D67:D101" si="13">0.299*A67 + 0.587*B67 + 0.114*C67</f>
        <v>172.12199999999999</v>
      </c>
      <c r="E67" s="3">
        <v>11</v>
      </c>
      <c r="F67" s="3">
        <v>30</v>
      </c>
      <c r="G67" s="3" t="str">
        <f t="shared" ref="G67:G101" si="14">IF(F67&lt;=25,"Mild","Hot")</f>
        <v>Hot</v>
      </c>
      <c r="H67" s="3">
        <f t="shared" ref="H67:H101" si="15">ROUND(MIN(D67*(1+E67/100)*(1-F67/100),255),2)</f>
        <v>133.74</v>
      </c>
      <c r="I67" s="3" t="str">
        <f t="shared" ref="I67:I101" si="16">IF(AND(A66&gt;=B66,A66&gt;=C66),"Red",IF(AND(B66&gt;=A66,B66&gt;=C66),"Green","Blue"))</f>
        <v>Blue</v>
      </c>
      <c r="J67" s="3">
        <f t="shared" ref="J67:J101" si="17">ROUND(H67/255*5,2)</f>
        <v>2.62</v>
      </c>
      <c r="K67" s="3">
        <f t="shared" ref="K67:K101" si="18">ROUND(H67*0.8,2)</f>
        <v>106.99</v>
      </c>
      <c r="L67" s="3">
        <f t="shared" ref="L67:L101" si="19">ROUND(K67/255*5,2)</f>
        <v>2.1</v>
      </c>
      <c r="M67" s="3">
        <f t="shared" ref="M67:M101" si="20">J67 -L67</f>
        <v>0.52</v>
      </c>
      <c r="N67" s="3">
        <f t="shared" ref="N67:N101" si="21">ROUND(H67*1.1,2)</f>
        <v>147.11000000000001</v>
      </c>
      <c r="O67" s="3">
        <f t="shared" ref="O67:O101" si="22">ROUND(N67/255*5,2)</f>
        <v>2.88</v>
      </c>
      <c r="P67" s="3">
        <f t="shared" ref="P67:P101" si="23">ROUND(H67^(1/2.2),2)</f>
        <v>9.26</v>
      </c>
      <c r="Q67" s="3">
        <f t="shared" ref="Q67:Q101" si="24">ROUND(K67^(1/2.2),2)</f>
        <v>8.36</v>
      </c>
      <c r="R67" s="3">
        <f t="shared" ref="R67:R101" si="25">ROUND(N67^(1/2.2),2)</f>
        <v>9.67</v>
      </c>
    </row>
    <row r="68" spans="1:18" x14ac:dyDescent="0.3">
      <c r="A68" s="1">
        <v>49</v>
      </c>
      <c r="B68" s="1">
        <v>80</v>
      </c>
      <c r="C68" s="1">
        <v>192</v>
      </c>
      <c r="D68" s="2">
        <f t="shared" si="13"/>
        <v>83.498999999999995</v>
      </c>
      <c r="E68" s="3">
        <v>72</v>
      </c>
      <c r="F68" s="3">
        <v>36</v>
      </c>
      <c r="G68" s="3" t="str">
        <f t="shared" si="14"/>
        <v>Hot</v>
      </c>
      <c r="H68" s="3">
        <f t="shared" si="15"/>
        <v>91.92</v>
      </c>
      <c r="I68" s="3" t="str">
        <f t="shared" si="16"/>
        <v>Red</v>
      </c>
      <c r="J68" s="3">
        <f t="shared" si="17"/>
        <v>1.8</v>
      </c>
      <c r="K68" s="3">
        <f t="shared" si="18"/>
        <v>73.540000000000006</v>
      </c>
      <c r="L68" s="3">
        <f t="shared" si="19"/>
        <v>1.44</v>
      </c>
      <c r="M68" s="3">
        <f t="shared" si="20"/>
        <v>0.3600000000000001</v>
      </c>
      <c r="N68" s="3">
        <f t="shared" si="21"/>
        <v>101.11</v>
      </c>
      <c r="O68" s="3">
        <f t="shared" si="22"/>
        <v>1.98</v>
      </c>
      <c r="P68" s="3">
        <f t="shared" si="23"/>
        <v>7.81</v>
      </c>
      <c r="Q68" s="3">
        <f t="shared" si="24"/>
        <v>7.05</v>
      </c>
      <c r="R68" s="3">
        <f t="shared" si="25"/>
        <v>8.15</v>
      </c>
    </row>
    <row r="69" spans="1:18" x14ac:dyDescent="0.3">
      <c r="A69" s="1">
        <v>9</v>
      </c>
      <c r="B69" s="1">
        <v>201</v>
      </c>
      <c r="C69" s="1">
        <v>192</v>
      </c>
      <c r="D69" s="2">
        <f t="shared" si="13"/>
        <v>142.566</v>
      </c>
      <c r="E69" s="3">
        <v>74</v>
      </c>
      <c r="F69" s="3">
        <v>36</v>
      </c>
      <c r="G69" s="3" t="str">
        <f t="shared" si="14"/>
        <v>Hot</v>
      </c>
      <c r="H69" s="3">
        <f t="shared" si="15"/>
        <v>158.76</v>
      </c>
      <c r="I69" s="3" t="str">
        <f t="shared" si="16"/>
        <v>Blue</v>
      </c>
      <c r="J69" s="3">
        <f t="shared" si="17"/>
        <v>3.11</v>
      </c>
      <c r="K69" s="3">
        <f t="shared" si="18"/>
        <v>127.01</v>
      </c>
      <c r="L69" s="3">
        <f t="shared" si="19"/>
        <v>2.4900000000000002</v>
      </c>
      <c r="M69" s="3">
        <f t="shared" si="20"/>
        <v>0.61999999999999966</v>
      </c>
      <c r="N69" s="3">
        <f t="shared" si="21"/>
        <v>174.64</v>
      </c>
      <c r="O69" s="3">
        <f t="shared" si="22"/>
        <v>3.42</v>
      </c>
      <c r="P69" s="3">
        <f t="shared" si="23"/>
        <v>10.01</v>
      </c>
      <c r="Q69" s="3">
        <f t="shared" si="24"/>
        <v>9.0399999999999991</v>
      </c>
      <c r="R69" s="3">
        <f t="shared" si="25"/>
        <v>10.45</v>
      </c>
    </row>
    <row r="70" spans="1:18" x14ac:dyDescent="0.3">
      <c r="A70" s="1">
        <v>227</v>
      </c>
      <c r="B70" s="1">
        <v>51</v>
      </c>
      <c r="C70" s="1">
        <v>43</v>
      </c>
      <c r="D70" s="2">
        <f t="shared" si="13"/>
        <v>102.71199999999999</v>
      </c>
      <c r="E70" s="3">
        <v>71</v>
      </c>
      <c r="F70" s="3">
        <v>21</v>
      </c>
      <c r="G70" s="3" t="str">
        <f t="shared" si="14"/>
        <v>Mild</v>
      </c>
      <c r="H70" s="3">
        <f t="shared" si="15"/>
        <v>138.75</v>
      </c>
      <c r="I70" s="3" t="str">
        <f t="shared" si="16"/>
        <v>Green</v>
      </c>
      <c r="J70" s="3">
        <f t="shared" si="17"/>
        <v>2.72</v>
      </c>
      <c r="K70" s="3">
        <f t="shared" si="18"/>
        <v>111</v>
      </c>
      <c r="L70" s="3">
        <f t="shared" si="19"/>
        <v>2.1800000000000002</v>
      </c>
      <c r="M70" s="3">
        <f t="shared" si="20"/>
        <v>0.54</v>
      </c>
      <c r="N70" s="3">
        <f t="shared" si="21"/>
        <v>152.63</v>
      </c>
      <c r="O70" s="3">
        <f t="shared" si="22"/>
        <v>2.99</v>
      </c>
      <c r="P70" s="3">
        <f t="shared" si="23"/>
        <v>9.41</v>
      </c>
      <c r="Q70" s="3">
        <f t="shared" si="24"/>
        <v>8.51</v>
      </c>
      <c r="R70" s="3">
        <f t="shared" si="25"/>
        <v>9.83</v>
      </c>
    </row>
    <row r="71" spans="1:18" x14ac:dyDescent="0.3">
      <c r="A71" s="1">
        <v>4</v>
      </c>
      <c r="B71" s="1">
        <v>225</v>
      </c>
      <c r="C71" s="1">
        <v>25</v>
      </c>
      <c r="D71" s="2">
        <f t="shared" si="13"/>
        <v>136.12099999999998</v>
      </c>
      <c r="E71" s="3">
        <v>22</v>
      </c>
      <c r="F71" s="3">
        <v>30</v>
      </c>
      <c r="G71" s="3" t="str">
        <f t="shared" si="14"/>
        <v>Hot</v>
      </c>
      <c r="H71" s="3">
        <f t="shared" si="15"/>
        <v>116.25</v>
      </c>
      <c r="I71" s="3" t="str">
        <f t="shared" si="16"/>
        <v>Red</v>
      </c>
      <c r="J71" s="3">
        <f t="shared" si="17"/>
        <v>2.2799999999999998</v>
      </c>
      <c r="K71" s="3">
        <f t="shared" si="18"/>
        <v>93</v>
      </c>
      <c r="L71" s="3">
        <f t="shared" si="19"/>
        <v>1.82</v>
      </c>
      <c r="M71" s="3">
        <f t="shared" si="20"/>
        <v>0.45999999999999974</v>
      </c>
      <c r="N71" s="3">
        <f t="shared" si="21"/>
        <v>127.88</v>
      </c>
      <c r="O71" s="3">
        <f t="shared" si="22"/>
        <v>2.5099999999999998</v>
      </c>
      <c r="P71" s="3">
        <f t="shared" si="23"/>
        <v>8.69</v>
      </c>
      <c r="Q71" s="3">
        <f t="shared" si="24"/>
        <v>7.85</v>
      </c>
      <c r="R71" s="3">
        <f t="shared" si="25"/>
        <v>9.07</v>
      </c>
    </row>
    <row r="72" spans="1:18" x14ac:dyDescent="0.3">
      <c r="A72" s="1">
        <v>87</v>
      </c>
      <c r="B72" s="1">
        <v>175</v>
      </c>
      <c r="C72" s="1">
        <v>63</v>
      </c>
      <c r="D72" s="2">
        <f t="shared" si="13"/>
        <v>135.91999999999999</v>
      </c>
      <c r="E72" s="3">
        <v>92</v>
      </c>
      <c r="F72" s="3">
        <v>31</v>
      </c>
      <c r="G72" s="3" t="str">
        <f t="shared" si="14"/>
        <v>Hot</v>
      </c>
      <c r="H72" s="3">
        <f t="shared" si="15"/>
        <v>180.07</v>
      </c>
      <c r="I72" s="3" t="str">
        <f t="shared" si="16"/>
        <v>Green</v>
      </c>
      <c r="J72" s="3">
        <f t="shared" si="17"/>
        <v>3.53</v>
      </c>
      <c r="K72" s="3">
        <f t="shared" si="18"/>
        <v>144.06</v>
      </c>
      <c r="L72" s="3">
        <f t="shared" si="19"/>
        <v>2.82</v>
      </c>
      <c r="M72" s="3">
        <f t="shared" si="20"/>
        <v>0.71</v>
      </c>
      <c r="N72" s="3">
        <f t="shared" si="21"/>
        <v>198.08</v>
      </c>
      <c r="O72" s="3">
        <f t="shared" si="22"/>
        <v>3.88</v>
      </c>
      <c r="P72" s="3">
        <f t="shared" si="23"/>
        <v>10.6</v>
      </c>
      <c r="Q72" s="3">
        <f t="shared" si="24"/>
        <v>9.58</v>
      </c>
      <c r="R72" s="3">
        <f t="shared" si="25"/>
        <v>11.07</v>
      </c>
    </row>
    <row r="73" spans="1:18" x14ac:dyDescent="0.3">
      <c r="A73" s="1">
        <v>14</v>
      </c>
      <c r="B73" s="1">
        <v>196</v>
      </c>
      <c r="C73" s="1">
        <v>244</v>
      </c>
      <c r="D73" s="2">
        <f t="shared" si="13"/>
        <v>147.054</v>
      </c>
      <c r="E73" s="3">
        <v>59</v>
      </c>
      <c r="F73" s="3">
        <v>40</v>
      </c>
      <c r="G73" s="3" t="str">
        <f t="shared" si="14"/>
        <v>Hot</v>
      </c>
      <c r="H73" s="3">
        <f t="shared" si="15"/>
        <v>140.29</v>
      </c>
      <c r="I73" s="3" t="str">
        <f t="shared" si="16"/>
        <v>Green</v>
      </c>
      <c r="J73" s="3">
        <f t="shared" si="17"/>
        <v>2.75</v>
      </c>
      <c r="K73" s="3">
        <f t="shared" si="18"/>
        <v>112.23</v>
      </c>
      <c r="L73" s="3">
        <f t="shared" si="19"/>
        <v>2.2000000000000002</v>
      </c>
      <c r="M73" s="3">
        <f t="shared" si="20"/>
        <v>0.54999999999999982</v>
      </c>
      <c r="N73" s="3">
        <f t="shared" si="21"/>
        <v>154.32</v>
      </c>
      <c r="O73" s="3">
        <f t="shared" si="22"/>
        <v>3.03</v>
      </c>
      <c r="P73" s="3">
        <f t="shared" si="23"/>
        <v>9.4600000000000009</v>
      </c>
      <c r="Q73" s="3">
        <f t="shared" si="24"/>
        <v>8.5500000000000007</v>
      </c>
      <c r="R73" s="3">
        <f t="shared" si="25"/>
        <v>9.8800000000000008</v>
      </c>
    </row>
    <row r="74" spans="1:18" x14ac:dyDescent="0.3">
      <c r="A74" s="1">
        <v>122</v>
      </c>
      <c r="B74" s="1">
        <v>228</v>
      </c>
      <c r="C74" s="1">
        <v>178</v>
      </c>
      <c r="D74" s="2">
        <f t="shared" si="13"/>
        <v>190.60599999999999</v>
      </c>
      <c r="E74" s="3">
        <v>24</v>
      </c>
      <c r="F74" s="3">
        <v>36</v>
      </c>
      <c r="G74" s="3" t="str">
        <f t="shared" si="14"/>
        <v>Hot</v>
      </c>
      <c r="H74" s="3">
        <f t="shared" si="15"/>
        <v>151.26</v>
      </c>
      <c r="I74" s="3" t="str">
        <f t="shared" si="16"/>
        <v>Blue</v>
      </c>
      <c r="J74" s="3">
        <f t="shared" si="17"/>
        <v>2.97</v>
      </c>
      <c r="K74" s="3">
        <f t="shared" si="18"/>
        <v>121.01</v>
      </c>
      <c r="L74" s="3">
        <f t="shared" si="19"/>
        <v>2.37</v>
      </c>
      <c r="M74" s="3">
        <f t="shared" si="20"/>
        <v>0.60000000000000009</v>
      </c>
      <c r="N74" s="3">
        <f t="shared" si="21"/>
        <v>166.39</v>
      </c>
      <c r="O74" s="3">
        <f t="shared" si="22"/>
        <v>3.26</v>
      </c>
      <c r="P74" s="3">
        <f t="shared" si="23"/>
        <v>9.7899999999999991</v>
      </c>
      <c r="Q74" s="3">
        <f t="shared" si="24"/>
        <v>8.85</v>
      </c>
      <c r="R74" s="3">
        <f t="shared" si="25"/>
        <v>10.220000000000001</v>
      </c>
    </row>
    <row r="75" spans="1:18" x14ac:dyDescent="0.3">
      <c r="A75" s="1">
        <v>84</v>
      </c>
      <c r="B75" s="1">
        <v>135</v>
      </c>
      <c r="C75" s="1">
        <v>221</v>
      </c>
      <c r="D75" s="2">
        <f t="shared" si="13"/>
        <v>129.55500000000001</v>
      </c>
      <c r="E75" s="3">
        <v>88</v>
      </c>
      <c r="F75" s="3">
        <v>21</v>
      </c>
      <c r="G75" s="3" t="str">
        <f t="shared" si="14"/>
        <v>Mild</v>
      </c>
      <c r="H75" s="3">
        <f t="shared" si="15"/>
        <v>192.42</v>
      </c>
      <c r="I75" s="3" t="str">
        <f t="shared" si="16"/>
        <v>Green</v>
      </c>
      <c r="J75" s="3">
        <f t="shared" si="17"/>
        <v>3.77</v>
      </c>
      <c r="K75" s="3">
        <f t="shared" si="18"/>
        <v>153.94</v>
      </c>
      <c r="L75" s="3">
        <f t="shared" si="19"/>
        <v>3.02</v>
      </c>
      <c r="M75" s="3">
        <f t="shared" si="20"/>
        <v>0.75</v>
      </c>
      <c r="N75" s="3">
        <f t="shared" si="21"/>
        <v>211.66</v>
      </c>
      <c r="O75" s="3">
        <f t="shared" si="22"/>
        <v>4.1500000000000004</v>
      </c>
      <c r="P75" s="3">
        <f t="shared" si="23"/>
        <v>10.92</v>
      </c>
      <c r="Q75" s="3">
        <f t="shared" si="24"/>
        <v>9.8699999999999992</v>
      </c>
      <c r="R75" s="3">
        <f t="shared" si="25"/>
        <v>11.41</v>
      </c>
    </row>
    <row r="76" spans="1:18" x14ac:dyDescent="0.3">
      <c r="A76" s="1">
        <v>39</v>
      </c>
      <c r="B76" s="1">
        <v>109</v>
      </c>
      <c r="C76" s="1">
        <v>145</v>
      </c>
      <c r="D76" s="2">
        <f t="shared" si="13"/>
        <v>92.173999999999992</v>
      </c>
      <c r="E76" s="3">
        <v>23</v>
      </c>
      <c r="F76" s="3">
        <v>30</v>
      </c>
      <c r="G76" s="3" t="str">
        <f t="shared" si="14"/>
        <v>Hot</v>
      </c>
      <c r="H76" s="3">
        <f t="shared" si="15"/>
        <v>79.36</v>
      </c>
      <c r="I76" s="3" t="str">
        <f t="shared" si="16"/>
        <v>Blue</v>
      </c>
      <c r="J76" s="3">
        <f t="shared" si="17"/>
        <v>1.56</v>
      </c>
      <c r="K76" s="3">
        <f t="shared" si="18"/>
        <v>63.49</v>
      </c>
      <c r="L76" s="3">
        <f t="shared" si="19"/>
        <v>1.24</v>
      </c>
      <c r="M76" s="3">
        <f t="shared" si="20"/>
        <v>0.32000000000000006</v>
      </c>
      <c r="N76" s="3">
        <f t="shared" si="21"/>
        <v>87.3</v>
      </c>
      <c r="O76" s="3">
        <f t="shared" si="22"/>
        <v>1.71</v>
      </c>
      <c r="P76" s="3">
        <f t="shared" si="23"/>
        <v>7.3</v>
      </c>
      <c r="Q76" s="3">
        <f t="shared" si="24"/>
        <v>6.6</v>
      </c>
      <c r="R76" s="3">
        <f t="shared" si="25"/>
        <v>7.63</v>
      </c>
    </row>
    <row r="77" spans="1:18" x14ac:dyDescent="0.3">
      <c r="A77" s="1">
        <v>83</v>
      </c>
      <c r="B77" s="1">
        <v>247</v>
      </c>
      <c r="C77" s="1">
        <v>99</v>
      </c>
      <c r="D77" s="2">
        <f t="shared" si="13"/>
        <v>181.09200000000001</v>
      </c>
      <c r="E77" s="3">
        <v>48</v>
      </c>
      <c r="F77" s="3">
        <v>20</v>
      </c>
      <c r="G77" s="3" t="str">
        <f t="shared" si="14"/>
        <v>Mild</v>
      </c>
      <c r="H77" s="3">
        <f t="shared" si="15"/>
        <v>214.41</v>
      </c>
      <c r="I77" s="3" t="str">
        <f t="shared" si="16"/>
        <v>Blue</v>
      </c>
      <c r="J77" s="3">
        <f t="shared" si="17"/>
        <v>4.2</v>
      </c>
      <c r="K77" s="3">
        <f t="shared" si="18"/>
        <v>171.53</v>
      </c>
      <c r="L77" s="3">
        <f t="shared" si="19"/>
        <v>3.36</v>
      </c>
      <c r="M77" s="3">
        <f t="shared" si="20"/>
        <v>0.8400000000000003</v>
      </c>
      <c r="N77" s="3">
        <f t="shared" si="21"/>
        <v>235.85</v>
      </c>
      <c r="O77" s="3">
        <f t="shared" si="22"/>
        <v>4.62</v>
      </c>
      <c r="P77" s="3">
        <f t="shared" si="23"/>
        <v>11.47</v>
      </c>
      <c r="Q77" s="3">
        <f t="shared" si="24"/>
        <v>10.37</v>
      </c>
      <c r="R77" s="3">
        <f t="shared" si="25"/>
        <v>11.98</v>
      </c>
    </row>
    <row r="78" spans="1:18" x14ac:dyDescent="0.3">
      <c r="A78" s="1">
        <v>39</v>
      </c>
      <c r="B78" s="1">
        <v>228</v>
      </c>
      <c r="C78" s="1">
        <v>78</v>
      </c>
      <c r="D78" s="2">
        <f t="shared" si="13"/>
        <v>154.38899999999998</v>
      </c>
      <c r="E78" s="3">
        <v>75</v>
      </c>
      <c r="F78" s="3">
        <v>23</v>
      </c>
      <c r="G78" s="3" t="str">
        <f t="shared" si="14"/>
        <v>Mild</v>
      </c>
      <c r="H78" s="3">
        <f t="shared" si="15"/>
        <v>208.04</v>
      </c>
      <c r="I78" s="3" t="str">
        <f t="shared" si="16"/>
        <v>Green</v>
      </c>
      <c r="J78" s="3">
        <f t="shared" si="17"/>
        <v>4.08</v>
      </c>
      <c r="K78" s="3">
        <f t="shared" si="18"/>
        <v>166.43</v>
      </c>
      <c r="L78" s="3">
        <f t="shared" si="19"/>
        <v>3.26</v>
      </c>
      <c r="M78" s="3">
        <f t="shared" si="20"/>
        <v>0.82000000000000028</v>
      </c>
      <c r="N78" s="3">
        <f t="shared" si="21"/>
        <v>228.84</v>
      </c>
      <c r="O78" s="3">
        <f t="shared" si="22"/>
        <v>4.49</v>
      </c>
      <c r="P78" s="3">
        <f t="shared" si="23"/>
        <v>11.32</v>
      </c>
      <c r="Q78" s="3">
        <f t="shared" si="24"/>
        <v>10.220000000000001</v>
      </c>
      <c r="R78" s="3">
        <f t="shared" si="25"/>
        <v>11.82</v>
      </c>
    </row>
    <row r="79" spans="1:18" x14ac:dyDescent="0.3">
      <c r="A79" s="1">
        <v>196</v>
      </c>
      <c r="B79" s="1">
        <v>103</v>
      </c>
      <c r="C79" s="1">
        <v>98</v>
      </c>
      <c r="D79" s="2">
        <f t="shared" si="13"/>
        <v>130.23699999999999</v>
      </c>
      <c r="E79" s="3">
        <v>28</v>
      </c>
      <c r="F79" s="3">
        <v>39</v>
      </c>
      <c r="G79" s="3" t="str">
        <f t="shared" si="14"/>
        <v>Hot</v>
      </c>
      <c r="H79" s="3">
        <f t="shared" si="15"/>
        <v>101.69</v>
      </c>
      <c r="I79" s="3" t="str">
        <f t="shared" si="16"/>
        <v>Green</v>
      </c>
      <c r="J79" s="3">
        <f t="shared" si="17"/>
        <v>1.99</v>
      </c>
      <c r="K79" s="3">
        <f t="shared" si="18"/>
        <v>81.349999999999994</v>
      </c>
      <c r="L79" s="3">
        <f t="shared" si="19"/>
        <v>1.6</v>
      </c>
      <c r="M79" s="3">
        <f t="shared" si="20"/>
        <v>0.3899999999999999</v>
      </c>
      <c r="N79" s="3">
        <f t="shared" si="21"/>
        <v>111.86</v>
      </c>
      <c r="O79" s="3">
        <f t="shared" si="22"/>
        <v>2.19</v>
      </c>
      <c r="P79" s="3">
        <f t="shared" si="23"/>
        <v>8.17</v>
      </c>
      <c r="Q79" s="3">
        <f t="shared" si="24"/>
        <v>7.38</v>
      </c>
      <c r="R79" s="3">
        <f t="shared" si="25"/>
        <v>8.5399999999999991</v>
      </c>
    </row>
    <row r="80" spans="1:18" x14ac:dyDescent="0.3">
      <c r="A80" s="1">
        <v>181</v>
      </c>
      <c r="B80" s="1">
        <v>209</v>
      </c>
      <c r="C80" s="1">
        <v>102</v>
      </c>
      <c r="D80" s="2">
        <f t="shared" si="13"/>
        <v>188.43</v>
      </c>
      <c r="E80" s="3">
        <v>74</v>
      </c>
      <c r="F80" s="3">
        <v>25</v>
      </c>
      <c r="G80" s="3" t="str">
        <f t="shared" si="14"/>
        <v>Mild</v>
      </c>
      <c r="H80" s="3">
        <f t="shared" si="15"/>
        <v>245.9</v>
      </c>
      <c r="I80" s="3" t="str">
        <f t="shared" si="16"/>
        <v>Red</v>
      </c>
      <c r="J80" s="3">
        <f t="shared" si="17"/>
        <v>4.82</v>
      </c>
      <c r="K80" s="3">
        <f t="shared" si="18"/>
        <v>196.72</v>
      </c>
      <c r="L80" s="3">
        <f t="shared" si="19"/>
        <v>3.86</v>
      </c>
      <c r="M80" s="3">
        <f t="shared" si="20"/>
        <v>0.96000000000000041</v>
      </c>
      <c r="N80" s="3">
        <f t="shared" si="21"/>
        <v>270.49</v>
      </c>
      <c r="O80" s="3">
        <f t="shared" si="22"/>
        <v>5.3</v>
      </c>
      <c r="P80" s="3">
        <f t="shared" si="23"/>
        <v>12.21</v>
      </c>
      <c r="Q80" s="3">
        <f t="shared" si="24"/>
        <v>11.03</v>
      </c>
      <c r="R80" s="3">
        <f t="shared" si="25"/>
        <v>12.75</v>
      </c>
    </row>
    <row r="81" spans="1:18" x14ac:dyDescent="0.3">
      <c r="A81" s="1">
        <v>81</v>
      </c>
      <c r="B81" s="1">
        <v>213</v>
      </c>
      <c r="C81" s="1">
        <v>107</v>
      </c>
      <c r="D81" s="2">
        <f t="shared" si="13"/>
        <v>161.44800000000001</v>
      </c>
      <c r="E81" s="3">
        <v>8</v>
      </c>
      <c r="F81" s="3">
        <v>22</v>
      </c>
      <c r="G81" s="3" t="str">
        <f t="shared" si="14"/>
        <v>Mild</v>
      </c>
      <c r="H81" s="3">
        <f t="shared" si="15"/>
        <v>136</v>
      </c>
      <c r="I81" s="3" t="str">
        <f t="shared" si="16"/>
        <v>Green</v>
      </c>
      <c r="J81" s="3">
        <f t="shared" si="17"/>
        <v>2.67</v>
      </c>
      <c r="K81" s="3">
        <f t="shared" si="18"/>
        <v>108.8</v>
      </c>
      <c r="L81" s="3">
        <f t="shared" si="19"/>
        <v>2.13</v>
      </c>
      <c r="M81" s="3">
        <f t="shared" si="20"/>
        <v>0.54</v>
      </c>
      <c r="N81" s="3">
        <f t="shared" si="21"/>
        <v>149.6</v>
      </c>
      <c r="O81" s="3">
        <f t="shared" si="22"/>
        <v>2.93</v>
      </c>
      <c r="P81" s="3">
        <f t="shared" si="23"/>
        <v>9.33</v>
      </c>
      <c r="Q81" s="3">
        <f t="shared" si="24"/>
        <v>8.43</v>
      </c>
      <c r="R81" s="3">
        <f t="shared" si="25"/>
        <v>9.74</v>
      </c>
    </row>
    <row r="82" spans="1:18" x14ac:dyDescent="0.3">
      <c r="A82" s="1">
        <v>252</v>
      </c>
      <c r="B82" s="1">
        <v>97</v>
      </c>
      <c r="C82" s="1">
        <v>9</v>
      </c>
      <c r="D82" s="2">
        <f t="shared" si="13"/>
        <v>133.31300000000002</v>
      </c>
      <c r="E82" s="3">
        <v>8</v>
      </c>
      <c r="F82" s="3">
        <v>31</v>
      </c>
      <c r="G82" s="3" t="str">
        <f t="shared" si="14"/>
        <v>Hot</v>
      </c>
      <c r="H82" s="3">
        <f t="shared" si="15"/>
        <v>99.34</v>
      </c>
      <c r="I82" s="3" t="str">
        <f t="shared" si="16"/>
        <v>Green</v>
      </c>
      <c r="J82" s="3">
        <f t="shared" si="17"/>
        <v>1.95</v>
      </c>
      <c r="K82" s="3">
        <f t="shared" si="18"/>
        <v>79.47</v>
      </c>
      <c r="L82" s="3">
        <f t="shared" si="19"/>
        <v>1.56</v>
      </c>
      <c r="M82" s="3">
        <f t="shared" si="20"/>
        <v>0.3899999999999999</v>
      </c>
      <c r="N82" s="3">
        <f t="shared" si="21"/>
        <v>109.27</v>
      </c>
      <c r="O82" s="3">
        <f t="shared" si="22"/>
        <v>2.14</v>
      </c>
      <c r="P82" s="3">
        <f t="shared" si="23"/>
        <v>8.09</v>
      </c>
      <c r="Q82" s="3">
        <f t="shared" si="24"/>
        <v>7.31</v>
      </c>
      <c r="R82" s="3">
        <f t="shared" si="25"/>
        <v>8.44</v>
      </c>
    </row>
    <row r="83" spans="1:18" x14ac:dyDescent="0.3">
      <c r="A83" s="1">
        <v>96</v>
      </c>
      <c r="B83" s="1">
        <v>141</v>
      </c>
      <c r="C83" s="1">
        <v>244</v>
      </c>
      <c r="D83" s="2">
        <f t="shared" si="13"/>
        <v>139.28700000000001</v>
      </c>
      <c r="E83" s="3">
        <v>8</v>
      </c>
      <c r="F83" s="3">
        <v>38</v>
      </c>
      <c r="G83" s="3" t="str">
        <f t="shared" si="14"/>
        <v>Hot</v>
      </c>
      <c r="H83" s="3">
        <f t="shared" si="15"/>
        <v>93.27</v>
      </c>
      <c r="I83" s="3" t="str">
        <f t="shared" si="16"/>
        <v>Red</v>
      </c>
      <c r="J83" s="3">
        <f t="shared" si="17"/>
        <v>1.83</v>
      </c>
      <c r="K83" s="3">
        <f t="shared" si="18"/>
        <v>74.62</v>
      </c>
      <c r="L83" s="3">
        <f t="shared" si="19"/>
        <v>1.46</v>
      </c>
      <c r="M83" s="3">
        <f t="shared" si="20"/>
        <v>0.37000000000000011</v>
      </c>
      <c r="N83" s="3">
        <f t="shared" si="21"/>
        <v>102.6</v>
      </c>
      <c r="O83" s="3">
        <f t="shared" si="22"/>
        <v>2.0099999999999998</v>
      </c>
      <c r="P83" s="3">
        <f t="shared" si="23"/>
        <v>7.86</v>
      </c>
      <c r="Q83" s="3">
        <f t="shared" si="24"/>
        <v>7.1</v>
      </c>
      <c r="R83" s="3">
        <f t="shared" si="25"/>
        <v>8.2100000000000009</v>
      </c>
    </row>
    <row r="84" spans="1:18" x14ac:dyDescent="0.3">
      <c r="A84" s="1">
        <v>110</v>
      </c>
      <c r="B84" s="1">
        <v>142</v>
      </c>
      <c r="C84" s="1">
        <v>204</v>
      </c>
      <c r="D84" s="2">
        <f t="shared" si="13"/>
        <v>139.5</v>
      </c>
      <c r="E84" s="3">
        <v>19</v>
      </c>
      <c r="F84" s="3">
        <v>20</v>
      </c>
      <c r="G84" s="3" t="str">
        <f t="shared" si="14"/>
        <v>Mild</v>
      </c>
      <c r="H84" s="3">
        <f t="shared" si="15"/>
        <v>132.80000000000001</v>
      </c>
      <c r="I84" s="3" t="str">
        <f t="shared" si="16"/>
        <v>Blue</v>
      </c>
      <c r="J84" s="3">
        <f t="shared" si="17"/>
        <v>2.6</v>
      </c>
      <c r="K84" s="3">
        <f t="shared" si="18"/>
        <v>106.24</v>
      </c>
      <c r="L84" s="3">
        <f t="shared" si="19"/>
        <v>2.08</v>
      </c>
      <c r="M84" s="3">
        <f t="shared" si="20"/>
        <v>0.52</v>
      </c>
      <c r="N84" s="3">
        <f t="shared" si="21"/>
        <v>146.08000000000001</v>
      </c>
      <c r="O84" s="3">
        <f t="shared" si="22"/>
        <v>2.86</v>
      </c>
      <c r="P84" s="3">
        <f t="shared" si="23"/>
        <v>9.23</v>
      </c>
      <c r="Q84" s="3">
        <f t="shared" si="24"/>
        <v>8.34</v>
      </c>
      <c r="R84" s="3">
        <f t="shared" si="25"/>
        <v>9.64</v>
      </c>
    </row>
    <row r="85" spans="1:18" x14ac:dyDescent="0.3">
      <c r="A85" s="1">
        <v>200</v>
      </c>
      <c r="B85" s="1">
        <v>41</v>
      </c>
      <c r="C85" s="1">
        <v>158</v>
      </c>
      <c r="D85" s="2">
        <f t="shared" si="13"/>
        <v>101.87899999999999</v>
      </c>
      <c r="E85" s="3">
        <v>28</v>
      </c>
      <c r="F85" s="3">
        <v>30</v>
      </c>
      <c r="G85" s="3" t="str">
        <f t="shared" si="14"/>
        <v>Hot</v>
      </c>
      <c r="H85" s="3">
        <f t="shared" si="15"/>
        <v>91.28</v>
      </c>
      <c r="I85" s="3" t="str">
        <f t="shared" si="16"/>
        <v>Blue</v>
      </c>
      <c r="J85" s="3">
        <f t="shared" si="17"/>
        <v>1.79</v>
      </c>
      <c r="K85" s="3">
        <f t="shared" si="18"/>
        <v>73.02</v>
      </c>
      <c r="L85" s="3">
        <f t="shared" si="19"/>
        <v>1.43</v>
      </c>
      <c r="M85" s="3">
        <f t="shared" si="20"/>
        <v>0.3600000000000001</v>
      </c>
      <c r="N85" s="3">
        <f t="shared" si="21"/>
        <v>100.41</v>
      </c>
      <c r="O85" s="3">
        <f t="shared" si="22"/>
        <v>1.97</v>
      </c>
      <c r="P85" s="3">
        <f t="shared" si="23"/>
        <v>7.78</v>
      </c>
      <c r="Q85" s="3">
        <f t="shared" si="24"/>
        <v>7.03</v>
      </c>
      <c r="R85" s="3">
        <f t="shared" si="25"/>
        <v>8.1300000000000008</v>
      </c>
    </row>
    <row r="86" spans="1:18" x14ac:dyDescent="0.3">
      <c r="A86" s="1">
        <v>86</v>
      </c>
      <c r="B86" s="1">
        <v>198</v>
      </c>
      <c r="C86" s="1">
        <v>80</v>
      </c>
      <c r="D86" s="2">
        <f t="shared" si="13"/>
        <v>151.06</v>
      </c>
      <c r="E86" s="3">
        <v>33</v>
      </c>
      <c r="F86" s="3">
        <v>27</v>
      </c>
      <c r="G86" s="3" t="str">
        <f t="shared" si="14"/>
        <v>Hot</v>
      </c>
      <c r="H86" s="3">
        <f t="shared" si="15"/>
        <v>146.66</v>
      </c>
      <c r="I86" s="3" t="str">
        <f t="shared" si="16"/>
        <v>Red</v>
      </c>
      <c r="J86" s="3">
        <f t="shared" si="17"/>
        <v>2.88</v>
      </c>
      <c r="K86" s="3">
        <f t="shared" si="18"/>
        <v>117.33</v>
      </c>
      <c r="L86" s="3">
        <f t="shared" si="19"/>
        <v>2.2999999999999998</v>
      </c>
      <c r="M86" s="3">
        <f t="shared" si="20"/>
        <v>0.58000000000000007</v>
      </c>
      <c r="N86" s="3">
        <f t="shared" si="21"/>
        <v>161.33000000000001</v>
      </c>
      <c r="O86" s="3">
        <f t="shared" si="22"/>
        <v>3.16</v>
      </c>
      <c r="P86" s="3">
        <f t="shared" si="23"/>
        <v>9.65</v>
      </c>
      <c r="Q86" s="3">
        <f t="shared" si="24"/>
        <v>8.7200000000000006</v>
      </c>
      <c r="R86" s="3">
        <f t="shared" si="25"/>
        <v>10.08</v>
      </c>
    </row>
    <row r="87" spans="1:18" x14ac:dyDescent="0.3">
      <c r="A87" s="1">
        <v>246</v>
      </c>
      <c r="B87" s="1">
        <v>50</v>
      </c>
      <c r="C87" s="1">
        <v>53</v>
      </c>
      <c r="D87" s="2">
        <f t="shared" si="13"/>
        <v>108.946</v>
      </c>
      <c r="E87" s="3">
        <v>11</v>
      </c>
      <c r="F87" s="3">
        <v>36</v>
      </c>
      <c r="G87" s="3" t="str">
        <f t="shared" si="14"/>
        <v>Hot</v>
      </c>
      <c r="H87" s="3">
        <f t="shared" si="15"/>
        <v>77.400000000000006</v>
      </c>
      <c r="I87" s="3" t="str">
        <f t="shared" si="16"/>
        <v>Green</v>
      </c>
      <c r="J87" s="3">
        <f t="shared" si="17"/>
        <v>1.52</v>
      </c>
      <c r="K87" s="3">
        <f t="shared" si="18"/>
        <v>61.92</v>
      </c>
      <c r="L87" s="3">
        <f t="shared" si="19"/>
        <v>1.21</v>
      </c>
      <c r="M87" s="3">
        <f t="shared" si="20"/>
        <v>0.31000000000000005</v>
      </c>
      <c r="N87" s="3">
        <f t="shared" si="21"/>
        <v>85.14</v>
      </c>
      <c r="O87" s="3">
        <f t="shared" si="22"/>
        <v>1.67</v>
      </c>
      <c r="P87" s="3">
        <f t="shared" si="23"/>
        <v>7.22</v>
      </c>
      <c r="Q87" s="3">
        <f t="shared" si="24"/>
        <v>6.52</v>
      </c>
      <c r="R87" s="3">
        <f t="shared" si="25"/>
        <v>7.54</v>
      </c>
    </row>
    <row r="88" spans="1:18" x14ac:dyDescent="0.3">
      <c r="A88" s="1">
        <v>58</v>
      </c>
      <c r="B88" s="1">
        <v>73</v>
      </c>
      <c r="C88" s="1">
        <v>136</v>
      </c>
      <c r="D88" s="2">
        <f t="shared" si="13"/>
        <v>75.697000000000003</v>
      </c>
      <c r="E88" s="3">
        <v>68</v>
      </c>
      <c r="F88" s="3">
        <v>23</v>
      </c>
      <c r="G88" s="3" t="str">
        <f t="shared" si="14"/>
        <v>Mild</v>
      </c>
      <c r="H88" s="3">
        <f t="shared" si="15"/>
        <v>97.92</v>
      </c>
      <c r="I88" s="3" t="str">
        <f t="shared" si="16"/>
        <v>Red</v>
      </c>
      <c r="J88" s="3">
        <f t="shared" si="17"/>
        <v>1.92</v>
      </c>
      <c r="K88" s="3">
        <f t="shared" si="18"/>
        <v>78.34</v>
      </c>
      <c r="L88" s="3">
        <f t="shared" si="19"/>
        <v>1.54</v>
      </c>
      <c r="M88" s="3">
        <f t="shared" si="20"/>
        <v>0.37999999999999989</v>
      </c>
      <c r="N88" s="3">
        <f t="shared" si="21"/>
        <v>107.71</v>
      </c>
      <c r="O88" s="3">
        <f t="shared" si="22"/>
        <v>2.11</v>
      </c>
      <c r="P88" s="3">
        <f t="shared" si="23"/>
        <v>8.0299999999999994</v>
      </c>
      <c r="Q88" s="3">
        <f t="shared" si="24"/>
        <v>7.26</v>
      </c>
      <c r="R88" s="3">
        <f t="shared" si="25"/>
        <v>8.39</v>
      </c>
    </row>
    <row r="89" spans="1:18" x14ac:dyDescent="0.3">
      <c r="A89" s="1">
        <v>183</v>
      </c>
      <c r="B89" s="1">
        <v>220</v>
      </c>
      <c r="C89" s="1">
        <v>233</v>
      </c>
      <c r="D89" s="2">
        <f t="shared" si="13"/>
        <v>210.41899999999998</v>
      </c>
      <c r="E89" s="3">
        <v>42</v>
      </c>
      <c r="F89" s="3">
        <v>24</v>
      </c>
      <c r="G89" s="3" t="str">
        <f t="shared" si="14"/>
        <v>Mild</v>
      </c>
      <c r="H89" s="3">
        <f t="shared" si="15"/>
        <v>227.08</v>
      </c>
      <c r="I89" s="3" t="str">
        <f t="shared" si="16"/>
        <v>Blue</v>
      </c>
      <c r="J89" s="3">
        <f t="shared" si="17"/>
        <v>4.45</v>
      </c>
      <c r="K89" s="3">
        <f t="shared" si="18"/>
        <v>181.66</v>
      </c>
      <c r="L89" s="3">
        <f t="shared" si="19"/>
        <v>3.56</v>
      </c>
      <c r="M89" s="3">
        <f t="shared" si="20"/>
        <v>0.89000000000000012</v>
      </c>
      <c r="N89" s="3">
        <f t="shared" si="21"/>
        <v>249.79</v>
      </c>
      <c r="O89" s="3">
        <f t="shared" si="22"/>
        <v>4.9000000000000004</v>
      </c>
      <c r="P89" s="3">
        <f t="shared" si="23"/>
        <v>11.78</v>
      </c>
      <c r="Q89" s="3">
        <f t="shared" si="24"/>
        <v>10.64</v>
      </c>
      <c r="R89" s="3">
        <f t="shared" si="25"/>
        <v>12.3</v>
      </c>
    </row>
    <row r="90" spans="1:18" x14ac:dyDescent="0.3">
      <c r="A90" s="1">
        <v>28</v>
      </c>
      <c r="B90" s="1">
        <v>90</v>
      </c>
      <c r="C90" s="1">
        <v>32</v>
      </c>
      <c r="D90" s="2">
        <f t="shared" si="13"/>
        <v>64.849999999999994</v>
      </c>
      <c r="E90" s="3">
        <v>0</v>
      </c>
      <c r="F90" s="3">
        <v>35</v>
      </c>
      <c r="G90" s="3" t="str">
        <f t="shared" si="14"/>
        <v>Hot</v>
      </c>
      <c r="H90" s="3">
        <f t="shared" si="15"/>
        <v>42.15</v>
      </c>
      <c r="I90" s="3" t="str">
        <f t="shared" si="16"/>
        <v>Blue</v>
      </c>
      <c r="J90" s="3">
        <f t="shared" si="17"/>
        <v>0.83</v>
      </c>
      <c r="K90" s="3">
        <f t="shared" si="18"/>
        <v>33.72</v>
      </c>
      <c r="L90" s="3">
        <f t="shared" si="19"/>
        <v>0.66</v>
      </c>
      <c r="M90" s="3">
        <f t="shared" si="20"/>
        <v>0.16999999999999993</v>
      </c>
      <c r="N90" s="3">
        <f t="shared" si="21"/>
        <v>46.37</v>
      </c>
      <c r="O90" s="3">
        <f t="shared" si="22"/>
        <v>0.91</v>
      </c>
      <c r="P90" s="3">
        <f t="shared" si="23"/>
        <v>5.48</v>
      </c>
      <c r="Q90" s="3">
        <f t="shared" si="24"/>
        <v>4.95</v>
      </c>
      <c r="R90" s="3">
        <f t="shared" si="25"/>
        <v>5.72</v>
      </c>
    </row>
    <row r="91" spans="1:18" x14ac:dyDescent="0.3">
      <c r="A91" s="1">
        <v>70</v>
      </c>
      <c r="B91" s="1">
        <v>105</v>
      </c>
      <c r="C91" s="1">
        <v>204</v>
      </c>
      <c r="D91" s="2">
        <f t="shared" si="13"/>
        <v>105.821</v>
      </c>
      <c r="E91" s="3">
        <v>87</v>
      </c>
      <c r="F91" s="3">
        <v>34</v>
      </c>
      <c r="G91" s="3" t="str">
        <f t="shared" si="14"/>
        <v>Hot</v>
      </c>
      <c r="H91" s="3">
        <f t="shared" si="15"/>
        <v>130.6</v>
      </c>
      <c r="I91" s="3" t="str">
        <f t="shared" si="16"/>
        <v>Green</v>
      </c>
      <c r="J91" s="3">
        <f t="shared" si="17"/>
        <v>2.56</v>
      </c>
      <c r="K91" s="3">
        <f t="shared" si="18"/>
        <v>104.48</v>
      </c>
      <c r="L91" s="3">
        <f t="shared" si="19"/>
        <v>2.0499999999999998</v>
      </c>
      <c r="M91" s="3">
        <f t="shared" si="20"/>
        <v>0.51000000000000023</v>
      </c>
      <c r="N91" s="3">
        <f t="shared" si="21"/>
        <v>143.66</v>
      </c>
      <c r="O91" s="3">
        <f t="shared" si="22"/>
        <v>2.82</v>
      </c>
      <c r="P91" s="3">
        <f t="shared" si="23"/>
        <v>9.16</v>
      </c>
      <c r="Q91" s="3">
        <f t="shared" si="24"/>
        <v>8.27</v>
      </c>
      <c r="R91" s="3">
        <f t="shared" si="25"/>
        <v>9.56</v>
      </c>
    </row>
    <row r="92" spans="1:18" x14ac:dyDescent="0.3">
      <c r="A92" s="1">
        <v>75</v>
      </c>
      <c r="B92" s="1">
        <v>214</v>
      </c>
      <c r="C92" s="1">
        <v>40</v>
      </c>
      <c r="D92" s="2">
        <f t="shared" si="13"/>
        <v>152.60300000000001</v>
      </c>
      <c r="E92" s="3">
        <v>82</v>
      </c>
      <c r="F92" s="3">
        <v>30</v>
      </c>
      <c r="G92" s="3" t="str">
        <f t="shared" si="14"/>
        <v>Hot</v>
      </c>
      <c r="H92" s="3">
        <f t="shared" si="15"/>
        <v>194.42</v>
      </c>
      <c r="I92" s="3" t="str">
        <f t="shared" si="16"/>
        <v>Blue</v>
      </c>
      <c r="J92" s="3">
        <f t="shared" si="17"/>
        <v>3.81</v>
      </c>
      <c r="K92" s="3">
        <f t="shared" si="18"/>
        <v>155.54</v>
      </c>
      <c r="L92" s="3">
        <f t="shared" si="19"/>
        <v>3.05</v>
      </c>
      <c r="M92" s="3">
        <f t="shared" si="20"/>
        <v>0.76000000000000023</v>
      </c>
      <c r="N92" s="3">
        <f t="shared" si="21"/>
        <v>213.86</v>
      </c>
      <c r="O92" s="3">
        <f t="shared" si="22"/>
        <v>4.1900000000000004</v>
      </c>
      <c r="P92" s="3">
        <f t="shared" si="23"/>
        <v>10.97</v>
      </c>
      <c r="Q92" s="3">
        <f t="shared" si="24"/>
        <v>9.91</v>
      </c>
      <c r="R92" s="3">
        <f t="shared" si="25"/>
        <v>11.46</v>
      </c>
    </row>
    <row r="93" spans="1:18" x14ac:dyDescent="0.3">
      <c r="A93" s="1">
        <v>128</v>
      </c>
      <c r="B93" s="1">
        <v>227</v>
      </c>
      <c r="C93" s="1">
        <v>74</v>
      </c>
      <c r="D93" s="2">
        <f t="shared" si="13"/>
        <v>179.95699999999999</v>
      </c>
      <c r="E93" s="3">
        <v>27</v>
      </c>
      <c r="F93" s="3">
        <v>26</v>
      </c>
      <c r="G93" s="3" t="str">
        <f t="shared" si="14"/>
        <v>Hot</v>
      </c>
      <c r="H93" s="3">
        <f t="shared" si="15"/>
        <v>169.12</v>
      </c>
      <c r="I93" s="3" t="str">
        <f t="shared" si="16"/>
        <v>Green</v>
      </c>
      <c r="J93" s="3">
        <f t="shared" si="17"/>
        <v>3.32</v>
      </c>
      <c r="K93" s="3">
        <f t="shared" si="18"/>
        <v>135.30000000000001</v>
      </c>
      <c r="L93" s="3">
        <f t="shared" si="19"/>
        <v>2.65</v>
      </c>
      <c r="M93" s="3">
        <f t="shared" si="20"/>
        <v>0.66999999999999993</v>
      </c>
      <c r="N93" s="3">
        <f t="shared" si="21"/>
        <v>186.03</v>
      </c>
      <c r="O93" s="3">
        <f t="shared" si="22"/>
        <v>3.65</v>
      </c>
      <c r="P93" s="3">
        <f t="shared" si="23"/>
        <v>10.3</v>
      </c>
      <c r="Q93" s="3">
        <f t="shared" si="24"/>
        <v>9.31</v>
      </c>
      <c r="R93" s="3">
        <f t="shared" si="25"/>
        <v>10.76</v>
      </c>
    </row>
    <row r="94" spans="1:18" x14ac:dyDescent="0.3">
      <c r="A94" s="1">
        <v>224</v>
      </c>
      <c r="B94" s="1">
        <v>142</v>
      </c>
      <c r="C94" s="1">
        <v>110</v>
      </c>
      <c r="D94" s="2">
        <f t="shared" si="13"/>
        <v>162.86999999999998</v>
      </c>
      <c r="E94" s="3">
        <v>97</v>
      </c>
      <c r="F94" s="3">
        <v>24</v>
      </c>
      <c r="G94" s="3" t="str">
        <f t="shared" si="14"/>
        <v>Mild</v>
      </c>
      <c r="H94" s="3">
        <f t="shared" si="15"/>
        <v>243.85</v>
      </c>
      <c r="I94" s="3" t="str">
        <f t="shared" si="16"/>
        <v>Green</v>
      </c>
      <c r="J94" s="3">
        <f t="shared" si="17"/>
        <v>4.78</v>
      </c>
      <c r="K94" s="3">
        <f t="shared" si="18"/>
        <v>195.08</v>
      </c>
      <c r="L94" s="3">
        <f t="shared" si="19"/>
        <v>3.83</v>
      </c>
      <c r="M94" s="3">
        <f t="shared" si="20"/>
        <v>0.95000000000000018</v>
      </c>
      <c r="N94" s="3">
        <f t="shared" si="21"/>
        <v>268.24</v>
      </c>
      <c r="O94" s="3">
        <f t="shared" si="22"/>
        <v>5.26</v>
      </c>
      <c r="P94" s="3">
        <f t="shared" si="23"/>
        <v>12.16</v>
      </c>
      <c r="Q94" s="3">
        <f t="shared" si="24"/>
        <v>10.99</v>
      </c>
      <c r="R94" s="3">
        <f t="shared" si="25"/>
        <v>12.7</v>
      </c>
    </row>
    <row r="95" spans="1:18" x14ac:dyDescent="0.3">
      <c r="A95" s="1">
        <v>216</v>
      </c>
      <c r="B95" s="1">
        <v>63</v>
      </c>
      <c r="C95" s="1">
        <v>165</v>
      </c>
      <c r="D95" s="2">
        <f t="shared" si="13"/>
        <v>120.375</v>
      </c>
      <c r="E95" s="3">
        <v>97</v>
      </c>
      <c r="F95" s="3">
        <v>36</v>
      </c>
      <c r="G95" s="3" t="str">
        <f t="shared" si="14"/>
        <v>Hot</v>
      </c>
      <c r="H95" s="3">
        <f t="shared" si="15"/>
        <v>151.77000000000001</v>
      </c>
      <c r="I95" s="3" t="str">
        <f t="shared" si="16"/>
        <v>Red</v>
      </c>
      <c r="J95" s="3">
        <f t="shared" si="17"/>
        <v>2.98</v>
      </c>
      <c r="K95" s="3">
        <f t="shared" si="18"/>
        <v>121.42</v>
      </c>
      <c r="L95" s="3">
        <f t="shared" si="19"/>
        <v>2.38</v>
      </c>
      <c r="M95" s="3">
        <f t="shared" si="20"/>
        <v>0.60000000000000009</v>
      </c>
      <c r="N95" s="3">
        <f t="shared" si="21"/>
        <v>166.95</v>
      </c>
      <c r="O95" s="3">
        <f t="shared" si="22"/>
        <v>3.27</v>
      </c>
      <c r="P95" s="3">
        <f t="shared" si="23"/>
        <v>9.81</v>
      </c>
      <c r="Q95" s="3">
        <f t="shared" si="24"/>
        <v>8.86</v>
      </c>
      <c r="R95" s="3">
        <f t="shared" si="25"/>
        <v>10.24</v>
      </c>
    </row>
    <row r="96" spans="1:18" x14ac:dyDescent="0.3">
      <c r="A96" s="1">
        <v>106</v>
      </c>
      <c r="B96" s="1">
        <v>246</v>
      </c>
      <c r="C96" s="1">
        <v>162</v>
      </c>
      <c r="D96" s="2">
        <f t="shared" si="13"/>
        <v>194.56399999999996</v>
      </c>
      <c r="E96" s="3">
        <v>53</v>
      </c>
      <c r="F96" s="3">
        <v>40</v>
      </c>
      <c r="G96" s="3" t="str">
        <f t="shared" si="14"/>
        <v>Hot</v>
      </c>
      <c r="H96" s="3">
        <f t="shared" si="15"/>
        <v>178.61</v>
      </c>
      <c r="I96" s="3" t="str">
        <f t="shared" si="16"/>
        <v>Red</v>
      </c>
      <c r="J96" s="3">
        <f t="shared" si="17"/>
        <v>3.5</v>
      </c>
      <c r="K96" s="3">
        <f t="shared" si="18"/>
        <v>142.88999999999999</v>
      </c>
      <c r="L96" s="3">
        <f t="shared" si="19"/>
        <v>2.8</v>
      </c>
      <c r="M96" s="3">
        <f t="shared" si="20"/>
        <v>0.70000000000000018</v>
      </c>
      <c r="N96" s="3">
        <f t="shared" si="21"/>
        <v>196.47</v>
      </c>
      <c r="O96" s="3">
        <f t="shared" si="22"/>
        <v>3.85</v>
      </c>
      <c r="P96" s="3">
        <f t="shared" si="23"/>
        <v>10.56</v>
      </c>
      <c r="Q96" s="3">
        <f t="shared" si="24"/>
        <v>9.5399999999999991</v>
      </c>
      <c r="R96" s="3">
        <f t="shared" si="25"/>
        <v>11.03</v>
      </c>
    </row>
    <row r="97" spans="1:18" x14ac:dyDescent="0.3">
      <c r="A97" s="1">
        <v>232</v>
      </c>
      <c r="B97" s="1">
        <v>157</v>
      </c>
      <c r="C97" s="1">
        <v>144</v>
      </c>
      <c r="D97" s="2">
        <f t="shared" si="13"/>
        <v>177.94299999999998</v>
      </c>
      <c r="E97" s="3">
        <v>26</v>
      </c>
      <c r="F97" s="3">
        <v>34</v>
      </c>
      <c r="G97" s="3" t="str">
        <f t="shared" si="14"/>
        <v>Hot</v>
      </c>
      <c r="H97" s="3">
        <f t="shared" si="15"/>
        <v>147.97999999999999</v>
      </c>
      <c r="I97" s="3" t="str">
        <f t="shared" si="16"/>
        <v>Green</v>
      </c>
      <c r="J97" s="3">
        <f t="shared" si="17"/>
        <v>2.9</v>
      </c>
      <c r="K97" s="3">
        <f t="shared" si="18"/>
        <v>118.38</v>
      </c>
      <c r="L97" s="3">
        <f t="shared" si="19"/>
        <v>2.3199999999999998</v>
      </c>
      <c r="M97" s="3">
        <f t="shared" si="20"/>
        <v>0.58000000000000007</v>
      </c>
      <c r="N97" s="3">
        <f t="shared" si="21"/>
        <v>162.78</v>
      </c>
      <c r="O97" s="3">
        <f t="shared" si="22"/>
        <v>3.19</v>
      </c>
      <c r="P97" s="3">
        <f t="shared" si="23"/>
        <v>9.69</v>
      </c>
      <c r="Q97" s="3">
        <f t="shared" si="24"/>
        <v>8.76</v>
      </c>
      <c r="R97" s="3">
        <f t="shared" si="25"/>
        <v>10.119999999999999</v>
      </c>
    </row>
    <row r="98" spans="1:18" x14ac:dyDescent="0.3">
      <c r="A98" s="1">
        <v>133</v>
      </c>
      <c r="B98" s="1">
        <v>156</v>
      </c>
      <c r="C98" s="1">
        <v>13</v>
      </c>
      <c r="D98" s="2">
        <f t="shared" si="13"/>
        <v>132.821</v>
      </c>
      <c r="E98" s="3">
        <v>47</v>
      </c>
      <c r="F98" s="3">
        <v>40</v>
      </c>
      <c r="G98" s="3" t="str">
        <f t="shared" si="14"/>
        <v>Hot</v>
      </c>
      <c r="H98" s="3">
        <f t="shared" si="15"/>
        <v>117.15</v>
      </c>
      <c r="I98" s="3" t="str">
        <f t="shared" si="16"/>
        <v>Red</v>
      </c>
      <c r="J98" s="3">
        <f t="shared" si="17"/>
        <v>2.2999999999999998</v>
      </c>
      <c r="K98" s="3">
        <f t="shared" si="18"/>
        <v>93.72</v>
      </c>
      <c r="L98" s="3">
        <f t="shared" si="19"/>
        <v>1.84</v>
      </c>
      <c r="M98" s="3">
        <f t="shared" si="20"/>
        <v>0.45999999999999974</v>
      </c>
      <c r="N98" s="3">
        <f t="shared" si="21"/>
        <v>128.87</v>
      </c>
      <c r="O98" s="3">
        <f t="shared" si="22"/>
        <v>2.5299999999999998</v>
      </c>
      <c r="P98" s="3">
        <f t="shared" si="23"/>
        <v>8.7200000000000006</v>
      </c>
      <c r="Q98" s="3">
        <f t="shared" si="24"/>
        <v>7.88</v>
      </c>
      <c r="R98" s="3">
        <f t="shared" si="25"/>
        <v>9.1</v>
      </c>
    </row>
    <row r="99" spans="1:18" x14ac:dyDescent="0.3">
      <c r="A99" s="1">
        <v>83</v>
      </c>
      <c r="B99" s="1">
        <v>45</v>
      </c>
      <c r="C99" s="1">
        <v>4</v>
      </c>
      <c r="D99" s="2">
        <f t="shared" si="13"/>
        <v>51.688000000000002</v>
      </c>
      <c r="E99" s="3">
        <v>67</v>
      </c>
      <c r="F99" s="3">
        <v>26</v>
      </c>
      <c r="G99" s="3" t="str">
        <f t="shared" si="14"/>
        <v>Hot</v>
      </c>
      <c r="H99" s="3">
        <f t="shared" si="15"/>
        <v>63.88</v>
      </c>
      <c r="I99" s="3" t="str">
        <f t="shared" si="16"/>
        <v>Green</v>
      </c>
      <c r="J99" s="3">
        <f t="shared" si="17"/>
        <v>1.25</v>
      </c>
      <c r="K99" s="3">
        <f t="shared" si="18"/>
        <v>51.1</v>
      </c>
      <c r="L99" s="3">
        <f t="shared" si="19"/>
        <v>1</v>
      </c>
      <c r="M99" s="3">
        <f t="shared" si="20"/>
        <v>0.25</v>
      </c>
      <c r="N99" s="3">
        <f t="shared" si="21"/>
        <v>70.27</v>
      </c>
      <c r="O99" s="3">
        <f t="shared" si="22"/>
        <v>1.38</v>
      </c>
      <c r="P99" s="3">
        <f t="shared" si="23"/>
        <v>6.62</v>
      </c>
      <c r="Q99" s="3">
        <f t="shared" si="24"/>
        <v>5.98</v>
      </c>
      <c r="R99" s="3">
        <f t="shared" si="25"/>
        <v>6.91</v>
      </c>
    </row>
    <row r="100" spans="1:18" x14ac:dyDescent="0.3">
      <c r="A100" s="1">
        <v>119</v>
      </c>
      <c r="B100" s="1">
        <v>248</v>
      </c>
      <c r="C100" s="1">
        <v>236</v>
      </c>
      <c r="D100" s="2">
        <f t="shared" si="13"/>
        <v>208.06099999999998</v>
      </c>
      <c r="E100" s="3">
        <v>91</v>
      </c>
      <c r="F100" s="3">
        <v>28</v>
      </c>
      <c r="G100" s="3" t="str">
        <f t="shared" si="14"/>
        <v>Hot</v>
      </c>
      <c r="H100" s="3">
        <f t="shared" si="15"/>
        <v>255</v>
      </c>
      <c r="I100" s="3" t="str">
        <f t="shared" si="16"/>
        <v>Red</v>
      </c>
      <c r="J100" s="3">
        <f t="shared" si="17"/>
        <v>5</v>
      </c>
      <c r="K100" s="3">
        <f t="shared" si="18"/>
        <v>204</v>
      </c>
      <c r="L100" s="3">
        <f t="shared" si="19"/>
        <v>4</v>
      </c>
      <c r="M100" s="3">
        <f t="shared" si="20"/>
        <v>1</v>
      </c>
      <c r="N100" s="3">
        <f t="shared" si="21"/>
        <v>280.5</v>
      </c>
      <c r="O100" s="3">
        <f t="shared" si="22"/>
        <v>5.5</v>
      </c>
      <c r="P100" s="3">
        <f t="shared" si="23"/>
        <v>12.41</v>
      </c>
      <c r="Q100" s="3">
        <f t="shared" si="24"/>
        <v>11.22</v>
      </c>
      <c r="R100" s="3">
        <f t="shared" si="25"/>
        <v>12.96</v>
      </c>
    </row>
    <row r="101" spans="1:18" x14ac:dyDescent="0.3">
      <c r="A101" s="1">
        <v>223</v>
      </c>
      <c r="B101" s="1">
        <v>236</v>
      </c>
      <c r="C101" s="1">
        <v>60</v>
      </c>
      <c r="D101" s="2">
        <f t="shared" si="13"/>
        <v>212.04899999999998</v>
      </c>
      <c r="E101" s="3">
        <v>59</v>
      </c>
      <c r="F101" s="3">
        <v>36</v>
      </c>
      <c r="G101" s="3" t="str">
        <f t="shared" si="14"/>
        <v>Hot</v>
      </c>
      <c r="H101" s="3">
        <f t="shared" si="15"/>
        <v>215.78</v>
      </c>
      <c r="I101" s="3" t="str">
        <f t="shared" si="16"/>
        <v>Green</v>
      </c>
      <c r="J101" s="3">
        <f t="shared" si="17"/>
        <v>4.2300000000000004</v>
      </c>
      <c r="K101" s="3">
        <f t="shared" si="18"/>
        <v>172.62</v>
      </c>
      <c r="L101" s="3">
        <f t="shared" si="19"/>
        <v>3.38</v>
      </c>
      <c r="M101" s="3">
        <f t="shared" si="20"/>
        <v>0.85000000000000053</v>
      </c>
      <c r="N101" s="3">
        <f t="shared" si="21"/>
        <v>237.36</v>
      </c>
      <c r="O101" s="3">
        <f t="shared" si="22"/>
        <v>4.6500000000000004</v>
      </c>
      <c r="P101" s="3">
        <f t="shared" si="23"/>
        <v>11.51</v>
      </c>
      <c r="Q101" s="3">
        <f t="shared" si="24"/>
        <v>10.4</v>
      </c>
      <c r="R101" s="3">
        <f t="shared" si="25"/>
        <v>12.02</v>
      </c>
    </row>
  </sheetData>
  <conditionalFormatting sqref="F1:F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Giddaluru Divya</dc:creator>
  <cp:lastModifiedBy>Giddaluru Divya</cp:lastModifiedBy>
  <dcterms:created xsi:type="dcterms:W3CDTF">2025-10-22T01:12:38Z</dcterms:created>
  <dcterms:modified xsi:type="dcterms:W3CDTF">2025-10-22T14:23:45Z</dcterms:modified>
</cp:coreProperties>
</file>